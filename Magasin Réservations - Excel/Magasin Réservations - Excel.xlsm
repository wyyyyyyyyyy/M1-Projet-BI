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odMetSID\Projet\Livrable Final\"/>
    </mc:Choice>
  </mc:AlternateContent>
  <xr:revisionPtr revIDLastSave="0" documentId="13_ncr:1_{12CC87E2-D84B-450F-8A5B-1F34CF9F623F}" xr6:coauthVersionLast="28" xr6:coauthVersionMax="28" xr10:uidLastSave="{00000000-0000-0000-0000-000000000000}"/>
  <bookViews>
    <workbookView xWindow="0" yWindow="0" windowWidth="28800" windowHeight="12210" tabRatio="950" activeTab="2" xr2:uid="{00000000-000D-0000-FFFF-FFFF00000000}"/>
  </bookViews>
  <sheets>
    <sheet name="TU_Réservation_Soc" sheetId="1" r:id="rId1"/>
    <sheet name="TU Réservations_prive" sheetId="5" r:id="rId2"/>
    <sheet name="Parramètres Analyse visuelle" sheetId="13" r:id="rId3"/>
    <sheet name="Analyse reservation soc" sheetId="2" r:id="rId4"/>
    <sheet name="Analyse reservation prive" sheetId="15" r:id="rId5"/>
  </sheets>
  <externalReferences>
    <externalReference r:id="rId6"/>
  </externalReferences>
  <definedNames>
    <definedName name="_xlnm._FilterDatabase" localSheetId="3" hidden="1">'Analyse reservation soc'!$A$1:$F$13</definedName>
    <definedName name="_xlnm._FilterDatabase" localSheetId="1" hidden="1">'TU Réservations_prive'!$A$1:$I$17</definedName>
    <definedName name="_xlnm._FilterDatabase" localSheetId="0" hidden="1">TU_Réservation_Soc!$A$1:$F$13</definedName>
    <definedName name="Code_Devis">[1]TU_Activités!$D$2:$D$572</definedName>
    <definedName name="_xlnm.Criteria" localSheetId="3">'Analyse reservation soc'!$A$9:$A$10</definedName>
    <definedName name="_xlnm.Criteria" localSheetId="0">TU_Réservation_Soc!$A$9:$B$9</definedName>
    <definedName name="devis_rentable_max">'Analyse reservation soc'!#REF!</definedName>
    <definedName name="devis_rentable_min">'Analyse reservation soc'!$H$4</definedName>
    <definedName name="_xlnm.Extract" localSheetId="3">'Analyse reservation soc'!$A$13:$C$13</definedName>
    <definedName name="_xlnm.Extract" localSheetId="0">TU_Réservation_Soc!$A$16:$F$16</definedName>
    <definedName name="max">'Analyse reservation soc'!$B$16</definedName>
    <definedName name="min">'Analyse reservation soc'!$B$17</definedName>
    <definedName name="Nb_jours">TU_Réservation_Soc!$F:$F</definedName>
    <definedName name="NOMC">TU_Réservation_Soc!#REF!</definedName>
    <definedName name="NomSoc">TU_Réservation_Soc!$B:$B</definedName>
    <definedName name="Rentabilite_max">'Analyse reservation soc'!#REF!</definedName>
    <definedName name="Rentabilite_min">'Analyse reservation soc'!$H$7</definedName>
    <definedName name="rentabilitémax">#REF!</definedName>
    <definedName name="RESERVERSOC">TU_Réservation_Soc!$A$1:$L$4</definedName>
    <definedName name="Segment_NomC">#N/A</definedName>
    <definedName name="TI_Rentabilite">'[1]TI Rentabilité'!$C$4:$C$400</definedName>
    <definedName name="TI_rentabilité">#REF!</definedName>
  </definedNames>
  <calcPr calcId="171027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8" i="13" l="1"/>
  <c r="F26" i="2" l="1"/>
  <c r="F27" i="2"/>
  <c r="F18" i="2"/>
  <c r="F25" i="2"/>
  <c r="F19" i="2"/>
  <c r="F20" i="2"/>
  <c r="F21" i="2"/>
  <c r="F22" i="2"/>
  <c r="F23" i="2"/>
  <c r="F24" i="2"/>
  <c r="B3" i="2"/>
  <c r="F32" i="2" l="1"/>
  <c r="E32" i="2" s="1"/>
  <c r="B4" i="2"/>
  <c r="B6" i="2" l="1"/>
  <c r="B5" i="2" l="1"/>
  <c r="A10" i="2" l="1"/>
  <c r="B7" i="2" l="1"/>
  <c r="A6" i="13" l="1"/>
  <c r="A7" i="13" s="1"/>
</calcChain>
</file>

<file path=xl/sharedStrings.xml><?xml version="1.0" encoding="utf-8"?>
<sst xmlns="http://schemas.openxmlformats.org/spreadsheetml/2006/main" count="259" uniqueCount="113">
  <si>
    <t>CodeSoc</t>
  </si>
  <si>
    <t>Code Société</t>
  </si>
  <si>
    <t xml:space="preserve">Raison sociale </t>
  </si>
  <si>
    <t>Ville</t>
  </si>
  <si>
    <t>NomSoc</t>
  </si>
  <si>
    <t>VilleSoc</t>
  </si>
  <si>
    <t>Bilal &amp; Co</t>
  </si>
  <si>
    <t>Strasbourg</t>
  </si>
  <si>
    <t xml:space="preserve">Nombre de réservations </t>
  </si>
  <si>
    <t>NomC</t>
  </si>
  <si>
    <t>Pouky Sarl</t>
  </si>
  <si>
    <t>Rakotondrazafy</t>
  </si>
  <si>
    <t>Toulouse</t>
  </si>
  <si>
    <t>Valeur</t>
  </si>
  <si>
    <t>Seuils</t>
  </si>
  <si>
    <t>Signification</t>
  </si>
  <si>
    <t>Danger</t>
  </si>
  <si>
    <t>Acceptable</t>
  </si>
  <si>
    <t>Excellent</t>
  </si>
  <si>
    <t>Construction du vumètre</t>
  </si>
  <si>
    <t>Deker</t>
  </si>
  <si>
    <t>Zahn</t>
  </si>
  <si>
    <t>Hachemi</t>
  </si>
  <si>
    <t>Sardou</t>
  </si>
  <si>
    <t>Tourisme citadine</t>
  </si>
  <si>
    <t>Tourisme compacte</t>
  </si>
  <si>
    <t>Tourisme grande</t>
  </si>
  <si>
    <t>Tourisme monospace</t>
  </si>
  <si>
    <t>Utilitaire 12m3</t>
  </si>
  <si>
    <t>Nouvelle-Aquitaine</t>
  </si>
  <si>
    <t>VilleC</t>
  </si>
  <si>
    <t>Bordeaux</t>
  </si>
  <si>
    <t>Biesheim</t>
  </si>
  <si>
    <t>Grand Est</t>
  </si>
  <si>
    <t>Connemara</t>
  </si>
  <si>
    <t>Bourgogne-Franche-Comté</t>
  </si>
  <si>
    <t>Occitanie</t>
  </si>
  <si>
    <t>Utilitaire 9m3</t>
  </si>
  <si>
    <t>nomC</t>
  </si>
  <si>
    <t>nomG</t>
  </si>
  <si>
    <t>nombre de réservations</t>
  </si>
  <si>
    <t>Durée totale prévisionnelle des réservations</t>
  </si>
  <si>
    <t>10324156896232</t>
  </si>
  <si>
    <t>13568689875442</t>
  </si>
  <si>
    <t>Sassi</t>
  </si>
  <si>
    <t>Paris</t>
  </si>
  <si>
    <t>Bobou</t>
  </si>
  <si>
    <t>Utilitaire 6m3</t>
  </si>
  <si>
    <t>35635654555563</t>
  </si>
  <si>
    <t>London</t>
  </si>
  <si>
    <t>46142442762117</t>
  </si>
  <si>
    <t>HeySaluATous</t>
  </si>
  <si>
    <t>Beauvais</t>
  </si>
  <si>
    <t>Kent</t>
  </si>
  <si>
    <t>58894562315789</t>
  </si>
  <si>
    <t>68424454865353</t>
  </si>
  <si>
    <t>Wesh Alors</t>
  </si>
  <si>
    <t>Marseille</t>
  </si>
  <si>
    <t>Filou</t>
  </si>
  <si>
    <t>86580153468432</t>
  </si>
  <si>
    <t>Big Bang Cie</t>
  </si>
  <si>
    <t>Lorient</t>
  </si>
  <si>
    <t>Cooper</t>
  </si>
  <si>
    <t>88742354620200</t>
  </si>
  <si>
    <t>Fufu &amp; Co</t>
  </si>
  <si>
    <t>Metz</t>
  </si>
  <si>
    <t>Utilitaire 20m3</t>
  </si>
  <si>
    <t>RegionC</t>
  </si>
  <si>
    <t>Île-de-France</t>
  </si>
  <si>
    <t>Utilitaire 3m3</t>
  </si>
  <si>
    <t>Bretagne</t>
  </si>
  <si>
    <t>Nice</t>
  </si>
  <si>
    <t>Provence-Alpes-Côte d'Azur</t>
  </si>
  <si>
    <t>Fufu</t>
  </si>
  <si>
    <t>Draguignan</t>
  </si>
  <si>
    <t>Hauts-de-France</t>
  </si>
  <si>
    <t>Luthor</t>
  </si>
  <si>
    <t>Grandrieu</t>
  </si>
  <si>
    <t>Eaunes</t>
  </si>
  <si>
    <t>Rentabilité</t>
  </si>
  <si>
    <t xml:space="preserve">Durée de réservations prévisionnelles </t>
  </si>
  <si>
    <t>Année</t>
  </si>
  <si>
    <t/>
  </si>
  <si>
    <t>54254658420232</t>
  </si>
  <si>
    <t>Nb de réservations pour la gamme</t>
  </si>
  <si>
    <t xml:space="preserve">La gamme majoritairement réservée </t>
  </si>
  <si>
    <t>Les réservations effecuées à titre privé</t>
  </si>
  <si>
    <t>CodeC</t>
  </si>
  <si>
    <t>CodeG</t>
  </si>
  <si>
    <t>NomG</t>
  </si>
  <si>
    <t>Information sur client</t>
  </si>
  <si>
    <t>Le nombre de réservations</t>
  </si>
  <si>
    <t>Bobou Total</t>
  </si>
  <si>
    <t>Grand Total</t>
  </si>
  <si>
    <t>Île-de-France Total</t>
  </si>
  <si>
    <t>Cooper Total</t>
  </si>
  <si>
    <t>Deker Total</t>
  </si>
  <si>
    <t>Filou Total</t>
  </si>
  <si>
    <t>Fufu Total</t>
  </si>
  <si>
    <t>Hachemi Total</t>
  </si>
  <si>
    <t>Kent Total</t>
  </si>
  <si>
    <t>Luthor Total</t>
  </si>
  <si>
    <t>Rakotondrazafy Total</t>
  </si>
  <si>
    <t>Sardou Total</t>
  </si>
  <si>
    <t>Zahn Total</t>
  </si>
  <si>
    <t>Bretagne Total</t>
  </si>
  <si>
    <t>Grand Est Total</t>
  </si>
  <si>
    <t>Provence-Alpes-Côte d'Azur Total</t>
  </si>
  <si>
    <t>Occitanie Total</t>
  </si>
  <si>
    <t>Hauts-de-France Total</t>
  </si>
  <si>
    <t>Nouvelle-Aquitaine Total</t>
  </si>
  <si>
    <t>Bourgogne-Franche-Comté Total</t>
  </si>
  <si>
    <t>Valeur à saisir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</si>
</sst>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6"/>
      <color theme="1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0" fontId="2" fillId="0" borderId="0"/>
    <xf numFmtId="0" fontId="6" fillId="0" borderId="0"/>
    <xf numFmtId="0" fontId="6" fillId="0" borderId="0"/>
    <xf numFmtId="0" fontId="8" fillId="0" borderId="0"/>
  </cellStyleXfs>
  <cellXfs count="80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Fill="1" applyBorder="1"/>
    <xf numFmtId="1" fontId="0" fillId="0" borderId="0" xfId="0" applyNumberFormat="1" applyBorder="1"/>
    <xf numFmtId="14" fontId="0" fillId="0" borderId="0" xfId="0" applyNumberFormat="1" applyBorder="1" applyAlignment="1" applyProtection="1">
      <alignment vertical="center"/>
    </xf>
    <xf numFmtId="14" fontId="0" fillId="0" borderId="0" xfId="0" applyNumberFormat="1" applyFill="1" applyBorder="1" applyAlignment="1" applyProtection="1">
      <alignment vertical="center"/>
    </xf>
    <xf numFmtId="14" fontId="0" fillId="0" borderId="0" xfId="0" applyNumberFormat="1"/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5" fillId="0" borderId="0" xfId="0" applyFont="1"/>
    <xf numFmtId="10" fontId="1" fillId="0" borderId="0" xfId="1" applyNumberFormat="1" applyFont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" fontId="0" fillId="0" borderId="0" xfId="0" applyNumberFormat="1" applyFill="1" applyBorder="1"/>
    <xf numFmtId="10" fontId="0" fillId="0" borderId="1" xfId="0" applyNumberFormat="1" applyBorder="1" applyAlignment="1">
      <alignment horizontal="center" vertical="center"/>
    </xf>
    <xf numFmtId="0" fontId="7" fillId="0" borderId="3" xfId="3" applyFont="1" applyFill="1" applyBorder="1" applyAlignment="1">
      <alignment horizontal="right" wrapText="1"/>
    </xf>
    <xf numFmtId="0" fontId="7" fillId="0" borderId="3" xfId="3" applyFont="1" applyFill="1" applyBorder="1" applyAlignment="1">
      <alignment wrapText="1"/>
    </xf>
    <xf numFmtId="0" fontId="7" fillId="0" borderId="3" xfId="4" applyFont="1" applyFill="1" applyBorder="1" applyAlignment="1">
      <alignment wrapText="1"/>
    </xf>
    <xf numFmtId="0" fontId="7" fillId="0" borderId="3" xfId="4" applyFont="1" applyFill="1" applyBorder="1" applyAlignment="1">
      <alignment horizontal="right" wrapText="1"/>
    </xf>
    <xf numFmtId="0" fontId="7" fillId="0" borderId="4" xfId="3" applyFont="1" applyFill="1" applyBorder="1" applyAlignment="1">
      <alignment horizontal="right" wrapText="1"/>
    </xf>
    <xf numFmtId="0" fontId="3" fillId="0" borderId="0" xfId="2" applyNumberFormat="1" applyFont="1" applyFill="1" applyBorder="1" applyAlignment="1">
      <alignment horizontal="right" wrapText="1"/>
    </xf>
    <xf numFmtId="0" fontId="3" fillId="0" borderId="0" xfId="2" applyFont="1" applyFill="1" applyBorder="1" applyAlignment="1">
      <alignment horizontal="right" wrapText="1"/>
    </xf>
    <xf numFmtId="0" fontId="3" fillId="0" borderId="0" xfId="2" applyFont="1" applyFill="1" applyBorder="1" applyAlignment="1">
      <alignment horizontal="left" wrapText="1"/>
    </xf>
    <xf numFmtId="0" fontId="3" fillId="0" borderId="0" xfId="2" applyFont="1" applyFill="1" applyBorder="1" applyAlignment="1">
      <alignment horizontal="right"/>
    </xf>
    <xf numFmtId="0" fontId="3" fillId="0" borderId="0" xfId="2" applyFont="1" applyFill="1" applyBorder="1" applyAlignment="1">
      <alignment horizontal="left"/>
    </xf>
    <xf numFmtId="0" fontId="3" fillId="0" borderId="0" xfId="2" applyNumberFormat="1" applyFont="1" applyFill="1" applyBorder="1" applyAlignment="1">
      <alignment horizontal="left"/>
    </xf>
    <xf numFmtId="0" fontId="3" fillId="0" borderId="0" xfId="2" applyNumberFormat="1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horizontal="left"/>
    </xf>
    <xf numFmtId="0" fontId="5" fillId="0" borderId="0" xfId="0" applyFont="1" applyBorder="1" applyAlignment="1"/>
    <xf numFmtId="0" fontId="0" fillId="0" borderId="0" xfId="0" applyFill="1" applyBorder="1" applyAlignment="1"/>
    <xf numFmtId="0" fontId="0" fillId="0" borderId="0" xfId="0" applyBorder="1" applyAlignment="1"/>
    <xf numFmtId="0" fontId="1" fillId="0" borderId="0" xfId="0" applyFont="1" applyFill="1" applyBorder="1"/>
    <xf numFmtId="0" fontId="11" fillId="0" borderId="1" xfId="0" applyFont="1" applyBorder="1"/>
    <xf numFmtId="49" fontId="7" fillId="0" borderId="3" xfId="3" applyNumberFormat="1" applyFont="1" applyFill="1" applyBorder="1" applyAlignment="1">
      <alignment horizontal="right" wrapText="1"/>
    </xf>
    <xf numFmtId="49" fontId="7" fillId="0" borderId="7" xfId="3" applyNumberFormat="1" applyFont="1" applyFill="1" applyBorder="1" applyAlignment="1">
      <alignment horizontal="right" wrapText="1"/>
    </xf>
    <xf numFmtId="0" fontId="7" fillId="0" borderId="7" xfId="3" applyFont="1" applyFill="1" applyBorder="1" applyAlignment="1">
      <alignment wrapText="1"/>
    </xf>
    <xf numFmtId="0" fontId="7" fillId="0" borderId="7" xfId="3" applyFont="1" applyFill="1" applyBorder="1" applyAlignment="1">
      <alignment horizontal="right" wrapText="1"/>
    </xf>
    <xf numFmtId="0" fontId="12" fillId="2" borderId="6" xfId="3" applyFont="1" applyFill="1" applyBorder="1" applyAlignment="1">
      <alignment horizontal="center"/>
    </xf>
    <xf numFmtId="49" fontId="7" fillId="0" borderId="4" xfId="3" applyNumberFormat="1" applyFont="1" applyFill="1" applyBorder="1" applyAlignment="1">
      <alignment horizontal="right" wrapText="1"/>
    </xf>
    <xf numFmtId="0" fontId="7" fillId="0" borderId="4" xfId="3" applyFont="1" applyFill="1" applyBorder="1" applyAlignment="1">
      <alignment wrapText="1"/>
    </xf>
    <xf numFmtId="0" fontId="7" fillId="0" borderId="0" xfId="3" applyFont="1" applyFill="1" applyBorder="1" applyAlignment="1">
      <alignment horizontal="center"/>
    </xf>
    <xf numFmtId="0" fontId="7" fillId="0" borderId="7" xfId="4" applyFont="1" applyFill="1" applyBorder="1" applyAlignment="1">
      <alignment horizontal="right" wrapText="1"/>
    </xf>
    <xf numFmtId="0" fontId="13" fillId="2" borderId="2" xfId="3" applyNumberFormat="1" applyFont="1" applyFill="1" applyBorder="1" applyAlignment="1">
      <alignment horizontal="center"/>
    </xf>
    <xf numFmtId="49" fontId="7" fillId="3" borderId="5" xfId="3" applyNumberFormat="1" applyFont="1" applyFill="1" applyBorder="1" applyAlignment="1">
      <alignment horizontal="right" wrapText="1"/>
    </xf>
    <xf numFmtId="0" fontId="10" fillId="0" borderId="0" xfId="0" applyFont="1" applyFill="1" applyBorder="1"/>
    <xf numFmtId="0" fontId="9" fillId="0" borderId="0" xfId="5" applyFont="1" applyFill="1" applyBorder="1" applyAlignment="1">
      <alignment wrapText="1"/>
    </xf>
    <xf numFmtId="10" fontId="1" fillId="0" borderId="0" xfId="1" applyNumberFormat="1" applyFont="1" applyFill="1" applyBorder="1"/>
    <xf numFmtId="49" fontId="7" fillId="4" borderId="8" xfId="3" applyNumberFormat="1" applyFont="1" applyFill="1" applyBorder="1" applyAlignment="1">
      <alignment horizontal="right" wrapText="1"/>
    </xf>
    <xf numFmtId="0" fontId="14" fillId="5" borderId="1" xfId="0" applyFont="1" applyFill="1" applyBorder="1" applyAlignment="1">
      <alignment horizontal="center" vertical="center"/>
    </xf>
    <xf numFmtId="49" fontId="7" fillId="3" borderId="9" xfId="3" applyNumberFormat="1" applyFont="1" applyFill="1" applyBorder="1" applyAlignment="1">
      <alignment horizontal="right" wrapText="1"/>
    </xf>
    <xf numFmtId="49" fontId="7" fillId="4" borderId="9" xfId="3" applyNumberFormat="1" applyFont="1" applyFill="1" applyBorder="1" applyAlignment="1">
      <alignment horizontal="right" wrapText="1"/>
    </xf>
    <xf numFmtId="0" fontId="11" fillId="0" borderId="10" xfId="0" applyFont="1" applyBorder="1"/>
    <xf numFmtId="0" fontId="0" fillId="0" borderId="10" xfId="0" quotePrefix="1" applyBorder="1"/>
    <xf numFmtId="0" fontId="1" fillId="0" borderId="11" xfId="0" applyFont="1" applyBorder="1"/>
    <xf numFmtId="0" fontId="12" fillId="2" borderId="6" xfId="4" applyFont="1" applyFill="1" applyBorder="1" applyAlignment="1">
      <alignment horizontal="center"/>
    </xf>
    <xf numFmtId="0" fontId="16" fillId="5" borderId="12" xfId="0" applyFont="1" applyFill="1" applyBorder="1" applyAlignment="1">
      <alignment horizontal="center"/>
    </xf>
    <xf numFmtId="0" fontId="7" fillId="3" borderId="3" xfId="3" applyNumberFormat="1" applyFont="1" applyFill="1" applyBorder="1" applyAlignment="1">
      <alignment wrapText="1"/>
    </xf>
    <xf numFmtId="0" fontId="7" fillId="4" borderId="3" xfId="3" applyNumberFormat="1" applyFont="1" applyFill="1" applyBorder="1" applyAlignment="1">
      <alignment wrapText="1"/>
    </xf>
    <xf numFmtId="0" fontId="13" fillId="2" borderId="2" xfId="4" applyNumberFormat="1" applyFont="1" applyFill="1" applyBorder="1" applyAlignment="1">
      <alignment horizontal="center"/>
    </xf>
    <xf numFmtId="0" fontId="7" fillId="3" borderId="3" xfId="4" applyNumberFormat="1" applyFont="1" applyFill="1" applyBorder="1" applyAlignment="1">
      <alignment wrapText="1"/>
    </xf>
    <xf numFmtId="0" fontId="13" fillId="2" borderId="6" xfId="3" applyNumberFormat="1" applyFont="1" applyFill="1" applyBorder="1" applyAlignment="1">
      <alignment horizontal="center"/>
    </xf>
    <xf numFmtId="0" fontId="7" fillId="0" borderId="7" xfId="4" applyFont="1" applyFill="1" applyBorder="1" applyAlignment="1">
      <alignment wrapText="1"/>
    </xf>
    <xf numFmtId="0" fontId="7" fillId="0" borderId="0" xfId="4" applyFont="1" applyFill="1" applyBorder="1" applyAlignment="1">
      <alignment horizontal="right" wrapText="1"/>
    </xf>
    <xf numFmtId="0" fontId="7" fillId="0" borderId="0" xfId="4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5" fillId="0" borderId="1" xfId="0" applyFont="1" applyBorder="1"/>
    <xf numFmtId="0" fontId="1" fillId="0" borderId="10" xfId="0" applyFont="1" applyBorder="1"/>
    <xf numFmtId="0" fontId="1" fillId="0" borderId="14" xfId="0" applyFont="1" applyBorder="1"/>
    <xf numFmtId="9" fontId="0" fillId="7" borderId="1" xfId="0" applyNumberFormat="1" applyFill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5" borderId="0" xfId="0" applyFont="1" applyFill="1" applyBorder="1" applyAlignment="1">
      <alignment horizontal="center"/>
    </xf>
    <xf numFmtId="0" fontId="17" fillId="6" borderId="13" xfId="0" applyFont="1" applyFill="1" applyBorder="1" applyAlignment="1">
      <alignment horizontal="center"/>
    </xf>
    <xf numFmtId="0" fontId="17" fillId="6" borderId="0" xfId="0" applyFont="1" applyFill="1" applyBorder="1" applyAlignment="1">
      <alignment horizontal="center"/>
    </xf>
  </cellXfs>
  <cellStyles count="6">
    <cellStyle name="Normal" xfId="0" builtinId="0"/>
    <cellStyle name="Normal_Requête_MD" xfId="3" xr:uid="{00000000-0005-0000-0000-000001000000}"/>
    <cellStyle name="Normal_Réservations_privées" xfId="2" xr:uid="{00000000-0005-0000-0000-000002000000}"/>
    <cellStyle name="Normal_TI réservation société" xfId="5" xr:uid="{00000000-0005-0000-0000-000003000000}"/>
    <cellStyle name="Normal_TU Réservations_privées" xfId="4" xr:uid="{00000000-0005-0000-0000-000004000000}"/>
    <cellStyle name="Pourcentage" xfId="1" builtinId="5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indexed="22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indexed="0"/>
          <bgColor theme="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indexed="0"/>
          <bgColor theme="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/>
              <a:t>Graphique</a:t>
            </a:r>
            <a:r>
              <a:rPr lang="fr-FR" baseline="0"/>
              <a:t> vumètre</a:t>
            </a:r>
            <a:endParaRPr lang="fr-FR"/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accent2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1-4E52-4729-9755-439EB5735DF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Danger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52-4729-9755-439EB5735DF1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'Parramètres Analyse visuelle'!$A$6:$B$6</c:f>
              <c:numCache>
                <c:formatCode>0%</c:formatCode>
                <c:ptCount val="2"/>
                <c:pt idx="0" formatCode="0.00%">
                  <c:v>0.05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52-4729-9755-439EB5735DF1}"/>
            </c:ext>
          </c:extLst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ysClr val="window" lastClr="FFFFFF"/>
              </a:solidFill>
            </c:spPr>
            <c:extLst>
              <c:ext xmlns:c16="http://schemas.microsoft.com/office/drawing/2014/chart" uri="{C3380CC4-5D6E-409C-BE32-E72D297353CC}">
                <c16:uniqueId val="{00000005-4E52-4729-9755-439EB5735DF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Acceptable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52-4729-9755-439EB5735DF1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'Parramètres Analyse visuelle'!$A$7:$B$7</c:f>
              <c:numCache>
                <c:formatCode>0%</c:formatCode>
                <c:ptCount val="2"/>
                <c:pt idx="0" formatCode="0.00%">
                  <c:v>0.95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52-4729-9755-439EB5735DF1}"/>
            </c:ext>
          </c:extLst>
        </c:ser>
        <c:ser>
          <c:idx val="2"/>
          <c:order val="2"/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Excellent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52-4729-9755-439EB5735DF1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'Parramètres Analyse visuelle'!$A$8:$B$8</c:f>
              <c:numCache>
                <c:formatCode>0%</c:formatCode>
                <c:ptCount val="2"/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52-4729-9755-439EB5735DF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-1718408608"/>
        <c:axId val="-1886124240"/>
      </c:barChart>
      <c:catAx>
        <c:axId val="-17184086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1886124240"/>
        <c:crosses val="autoZero"/>
        <c:auto val="1"/>
        <c:lblAlgn val="ctr"/>
        <c:lblOffset val="100"/>
        <c:noMultiLvlLbl val="0"/>
      </c:catAx>
      <c:valAx>
        <c:axId val="-1886124240"/>
        <c:scaling>
          <c:orientation val="minMax"/>
        </c:scaling>
        <c:delete val="1"/>
        <c:axPos val="b"/>
        <c:majorGridlines/>
        <c:numFmt formatCode="0.00%" sourceLinked="1"/>
        <c:majorTickMark val="out"/>
        <c:minorTickMark val="none"/>
        <c:tickLblPos val="nextTo"/>
        <c:crossAx val="-1718408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[Magasin Réservations - Excel.xlsm]Analyse reservation prive!Tableau croisé dynamique1</c:name>
    <c:fmtId val="4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'Analyse reservation prive'!$B$3:$B$6</c:f>
              <c:strCache>
                <c:ptCount val="1"/>
                <c:pt idx="0">
                  <c:v>Bobou - Île-de-France - Paris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prive'!$B$7:$B$21</c:f>
              <c:numCache>
                <c:formatCode>General</c:formatCode>
                <c:ptCount val="12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678-AD6C-7FDDAD00BEED}"/>
            </c:ext>
          </c:extLst>
        </c:ser>
        <c:ser>
          <c:idx val="1"/>
          <c:order val="1"/>
          <c:tx>
            <c:strRef>
              <c:f>'Analyse reservation prive'!$E$3:$E$6</c:f>
              <c:strCache>
                <c:ptCount val="1"/>
                <c:pt idx="0">
                  <c:v>Cooper - Bretagne - Lorient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prive'!$E$7:$E$21</c:f>
              <c:numCache>
                <c:formatCode>General</c:formatCode>
                <c:ptCount val="12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678-AD6C-7FDDAD00BEED}"/>
            </c:ext>
          </c:extLst>
        </c:ser>
        <c:ser>
          <c:idx val="2"/>
          <c:order val="2"/>
          <c:tx>
            <c:strRef>
              <c:f>'Analyse reservation prive'!$H$3:$H$6</c:f>
              <c:strCache>
                <c:ptCount val="1"/>
                <c:pt idx="0">
                  <c:v>Deker - Grand Est - Biesheim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prive'!$H$7:$H$21</c:f>
              <c:numCache>
                <c:formatCode>General</c:formatCode>
                <c:ptCount val="12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34-4678-AD6C-7FDDAD00BEED}"/>
            </c:ext>
          </c:extLst>
        </c:ser>
        <c:ser>
          <c:idx val="3"/>
          <c:order val="3"/>
          <c:tx>
            <c:strRef>
              <c:f>'Analyse reservation prive'!$K$3:$K$6</c:f>
              <c:strCache>
                <c:ptCount val="1"/>
                <c:pt idx="0">
                  <c:v>Filou - Provence-Alpes-Côte d'Azur - Nice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prive'!$K$7:$K$21</c:f>
              <c:numCache>
                <c:formatCode>General</c:formatCode>
                <c:ptCount val="12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34-4678-AD6C-7FDDAD00BEED}"/>
            </c:ext>
          </c:extLst>
        </c:ser>
        <c:ser>
          <c:idx val="4"/>
          <c:order val="4"/>
          <c:tx>
            <c:strRef>
              <c:f>'Analyse reservation prive'!$N$3:$N$6</c:f>
              <c:strCache>
                <c:ptCount val="1"/>
                <c:pt idx="0">
                  <c:v>Fufu - Provence-Alpes-Côte d'Azur - Draguignan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prive'!$N$7:$N$21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34-4678-AD6C-7FDDAD00BEED}"/>
            </c:ext>
          </c:extLst>
        </c:ser>
        <c:ser>
          <c:idx val="5"/>
          <c:order val="5"/>
          <c:tx>
            <c:strRef>
              <c:f>'Analyse reservation prive'!$Q$3:$Q$6</c:f>
              <c:strCache>
                <c:ptCount val="1"/>
                <c:pt idx="0">
                  <c:v>Hachemi - Occitanie - Toulouse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prive'!$Q$7:$Q$21</c:f>
              <c:numCache>
                <c:formatCode>General</c:formatCode>
                <c:ptCount val="12"/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34-4678-AD6C-7FDDAD00BEED}"/>
            </c:ext>
          </c:extLst>
        </c:ser>
        <c:ser>
          <c:idx val="6"/>
          <c:order val="6"/>
          <c:tx>
            <c:strRef>
              <c:f>'Analyse reservation prive'!$T$3:$T$6</c:f>
              <c:strCache>
                <c:ptCount val="1"/>
                <c:pt idx="0">
                  <c:v>Kent - Hauts-de-France - Beauvais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prive'!$T$7:$T$21</c:f>
              <c:numCache>
                <c:formatCode>General</c:formatCode>
                <c:ptCount val="12"/>
                <c:pt idx="1">
                  <c:v>1</c:v>
                </c:pt>
                <c:pt idx="8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34-4678-AD6C-7FDDAD00BEED}"/>
            </c:ext>
          </c:extLst>
        </c:ser>
        <c:ser>
          <c:idx val="7"/>
          <c:order val="7"/>
          <c:tx>
            <c:strRef>
              <c:f>'Analyse reservation prive'!$W$3:$W$6</c:f>
              <c:strCache>
                <c:ptCount val="1"/>
                <c:pt idx="0">
                  <c:v>Luthor - Occitanie - Grandrieu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prive'!$W$7:$W$21</c:f>
              <c:numCache>
                <c:formatCode>General</c:formatCode>
                <c:ptCount val="12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34-4678-AD6C-7FDDAD00BEED}"/>
            </c:ext>
          </c:extLst>
        </c:ser>
        <c:ser>
          <c:idx val="8"/>
          <c:order val="8"/>
          <c:tx>
            <c:strRef>
              <c:f>'Analyse reservation prive'!$Z$3:$Z$6</c:f>
              <c:strCache>
                <c:ptCount val="1"/>
                <c:pt idx="0">
                  <c:v>Rakotondrazafy - Nouvelle-Aquitaine - Bordeaux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prive'!$Z$7:$Z$21</c:f>
              <c:numCache>
                <c:formatCode>General</c:formatCode>
                <c:ptCount val="12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34-4678-AD6C-7FDDAD00BEED}"/>
            </c:ext>
          </c:extLst>
        </c:ser>
        <c:ser>
          <c:idx val="9"/>
          <c:order val="9"/>
          <c:tx>
            <c:strRef>
              <c:f>'Analyse reservation prive'!$AC$3:$AC$6</c:f>
              <c:strCache>
                <c:ptCount val="1"/>
                <c:pt idx="0">
                  <c:v>Sardou - Bourgogne-Franche-Comté - Connemara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prive'!$AC$7:$AC$21</c:f>
              <c:numCache>
                <c:formatCode>General</c:formatCode>
                <c:ptCount val="12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34-4678-AD6C-7FDDAD00BEED}"/>
            </c:ext>
          </c:extLst>
        </c:ser>
        <c:ser>
          <c:idx val="10"/>
          <c:order val="10"/>
          <c:tx>
            <c:strRef>
              <c:f>'Analyse reservation prive'!$AF$3:$AF$6</c:f>
              <c:strCache>
                <c:ptCount val="1"/>
                <c:pt idx="0">
                  <c:v>Zahn - Occitanie - Eaunes</c:v>
                </c:pt>
              </c:strCache>
            </c:strRef>
          </c:tx>
          <c:invertIfNegative val="0"/>
          <c:cat>
            <c:multiLvlStrRef>
              <c:f>'Analyse reservation prive'!$A$7:$A$21</c:f>
              <c:multiLvlStrCache>
                <c:ptCount val="12"/>
                <c:lvl>
                  <c:pt idx="0">
                    <c:v>Tourisme compacte</c:v>
                  </c:pt>
                  <c:pt idx="1">
                    <c:v>Tourisme grande</c:v>
                  </c:pt>
                  <c:pt idx="2">
                    <c:v>Tourisme monospace</c:v>
                  </c:pt>
                  <c:pt idx="3">
                    <c:v>Utilitaire 12m3</c:v>
                  </c:pt>
                  <c:pt idx="4">
                    <c:v>Utilitaire 3m3</c:v>
                  </c:pt>
                  <c:pt idx="5">
                    <c:v>Utilitaire 9m3</c:v>
                  </c:pt>
                  <c:pt idx="6">
                    <c:v>Tourisme citadine</c:v>
                  </c:pt>
                  <c:pt idx="7">
                    <c:v>Tourisme compacte</c:v>
                  </c:pt>
                  <c:pt idx="8">
                    <c:v>Tourisme grande</c:v>
                  </c:pt>
                  <c:pt idx="9">
                    <c:v>Utilitaire 12m3</c:v>
                  </c:pt>
                  <c:pt idx="10">
                    <c:v>Utilitaire 20m3</c:v>
                  </c:pt>
                  <c:pt idx="11">
                    <c:v>Utilitaire 6m3</c:v>
                  </c:pt>
                </c:lvl>
                <c:lvl>
                  <c:pt idx="0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'Analyse reservation prive'!$AF$7:$AF$21</c:f>
              <c:numCache>
                <c:formatCode>General</c:formatCode>
                <c:ptCount val="12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34-4678-AD6C-7FDDAD00B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669265920"/>
        <c:axId val="-1669272448"/>
      </c:barChart>
      <c:valAx>
        <c:axId val="-1669272448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0"/>
        <c:majorTickMark val="none"/>
        <c:minorTickMark val="none"/>
        <c:tickLblPos val="nextTo"/>
        <c:crossAx val="-1669265920"/>
        <c:crosses val="autoZero"/>
        <c:crossBetween val="between"/>
      </c:valAx>
      <c:catAx>
        <c:axId val="-16692659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-166927244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352425</xdr:colOff>
          <xdr:row>13</xdr:row>
          <xdr:rowOff>9525</xdr:rowOff>
        </xdr:from>
        <xdr:to>
          <xdr:col>5</xdr:col>
          <xdr:colOff>342900</xdr:colOff>
          <xdr:row>14</xdr:row>
          <xdr:rowOff>209550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clients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1082886</xdr:colOff>
      <xdr:row>0</xdr:row>
      <xdr:rowOff>5927</xdr:rowOff>
    </xdr:from>
    <xdr:to>
      <xdr:col>8</xdr:col>
      <xdr:colOff>637963</xdr:colOff>
      <xdr:row>12</xdr:row>
      <xdr:rowOff>148273</xdr:rowOff>
    </xdr:to>
    <xdr:graphicFrame macro="">
      <xdr:nvGraphicFramePr>
        <xdr:cNvPr id="7" name="Graphique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444500</xdr:colOff>
      <xdr:row>22</xdr:row>
      <xdr:rowOff>31752</xdr:rowOff>
    </xdr:from>
    <xdr:to>
      <xdr:col>10</xdr:col>
      <xdr:colOff>232833</xdr:colOff>
      <xdr:row>26</xdr:row>
      <xdr:rowOff>21167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1239500" y="5937252"/>
          <a:ext cx="3196166" cy="11324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Si</a:t>
          </a:r>
          <a:r>
            <a:rPr lang="fr-FR" sz="1100" baseline="0"/>
            <a:t> vous ne visualisez pas de résultat pour la gamme majoritairement réservé veuillez consulter la liste des gammes, ca peut signifier que il y en a plusieurs gammes réservées de meme quantités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457200</xdr:colOff>
      <xdr:row>21</xdr:row>
      <xdr:rowOff>142875</xdr:rowOff>
    </xdr:from>
    <xdr:to>
      <xdr:col>10</xdr:col>
      <xdr:colOff>666750</xdr:colOff>
      <xdr:row>35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NomC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41433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>
    <xdr:from>
      <xdr:col>0</xdr:col>
      <xdr:colOff>361951</xdr:colOff>
      <xdr:row>22</xdr:row>
      <xdr:rowOff>9526</xdr:rowOff>
    </xdr:from>
    <xdr:to>
      <xdr:col>5</xdr:col>
      <xdr:colOff>390526</xdr:colOff>
      <xdr:row>39</xdr:row>
      <xdr:rowOff>114300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21306510\AppData\Local\Temp\Copie%20de%20Classeur_TD1_etudi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3"/>
      <sheetName val="TU_Activités"/>
      <sheetName val="TI Rentabilité"/>
      <sheetName val="TI Analyse Visuelle"/>
      <sheetName val="Paramètres"/>
      <sheetName val="Rentabilité commerciale"/>
      <sheetName val="Interrogation libre"/>
      <sheetName val="Feuil1"/>
    </sheetNames>
    <sheetDataSet>
      <sheetData sheetId="0"/>
      <sheetData sheetId="1">
        <row r="2">
          <cell r="D2">
            <v>1</v>
          </cell>
        </row>
        <row r="3">
          <cell r="D3">
            <v>2</v>
          </cell>
        </row>
        <row r="4">
          <cell r="D4">
            <v>2</v>
          </cell>
        </row>
        <row r="5">
          <cell r="D5">
            <v>2</v>
          </cell>
        </row>
        <row r="6">
          <cell r="D6">
            <v>15</v>
          </cell>
        </row>
        <row r="7">
          <cell r="D7">
            <v>15</v>
          </cell>
        </row>
        <row r="8">
          <cell r="D8">
            <v>15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5</v>
          </cell>
        </row>
        <row r="12">
          <cell r="D12">
            <v>5</v>
          </cell>
        </row>
        <row r="13">
          <cell r="D13">
            <v>5</v>
          </cell>
        </row>
        <row r="14">
          <cell r="D14">
            <v>14</v>
          </cell>
        </row>
        <row r="15">
          <cell r="D15">
            <v>14</v>
          </cell>
        </row>
        <row r="16">
          <cell r="D16">
            <v>4</v>
          </cell>
        </row>
        <row r="17">
          <cell r="D17">
            <v>4</v>
          </cell>
        </row>
        <row r="18">
          <cell r="D18">
            <v>6</v>
          </cell>
        </row>
        <row r="19">
          <cell r="D19">
            <v>6</v>
          </cell>
        </row>
        <row r="20">
          <cell r="D20">
            <v>7</v>
          </cell>
        </row>
        <row r="21">
          <cell r="D21">
            <v>7</v>
          </cell>
        </row>
        <row r="22">
          <cell r="D22">
            <v>7</v>
          </cell>
        </row>
        <row r="23">
          <cell r="D23">
            <v>7</v>
          </cell>
        </row>
        <row r="24">
          <cell r="D24">
            <v>7</v>
          </cell>
        </row>
        <row r="25">
          <cell r="D25">
            <v>7</v>
          </cell>
        </row>
        <row r="26">
          <cell r="D26">
            <v>7</v>
          </cell>
        </row>
        <row r="27">
          <cell r="D27">
            <v>13</v>
          </cell>
        </row>
        <row r="28">
          <cell r="D28">
            <v>13</v>
          </cell>
        </row>
        <row r="29">
          <cell r="D29">
            <v>8</v>
          </cell>
        </row>
        <row r="30">
          <cell r="D30">
            <v>8</v>
          </cell>
        </row>
        <row r="31">
          <cell r="D31">
            <v>8</v>
          </cell>
        </row>
        <row r="32">
          <cell r="D32">
            <v>9</v>
          </cell>
        </row>
        <row r="33">
          <cell r="D33">
            <v>9</v>
          </cell>
        </row>
        <row r="34">
          <cell r="D34">
            <v>10</v>
          </cell>
        </row>
        <row r="35">
          <cell r="D35">
            <v>10</v>
          </cell>
        </row>
        <row r="36">
          <cell r="D36">
            <v>11</v>
          </cell>
        </row>
        <row r="37">
          <cell r="D37">
            <v>11</v>
          </cell>
        </row>
        <row r="38">
          <cell r="D38">
            <v>11</v>
          </cell>
        </row>
        <row r="39">
          <cell r="D39">
            <v>12</v>
          </cell>
        </row>
        <row r="40">
          <cell r="D40">
            <v>12</v>
          </cell>
        </row>
        <row r="41">
          <cell r="D41">
            <v>12</v>
          </cell>
        </row>
        <row r="42">
          <cell r="D42">
            <v>16</v>
          </cell>
        </row>
      </sheetData>
      <sheetData sheetId="2">
        <row r="4">
          <cell r="C4">
            <v>0.93333333333333335</v>
          </cell>
        </row>
        <row r="5">
          <cell r="C5">
            <v>0.75632911392405067</v>
          </cell>
        </row>
        <row r="6">
          <cell r="C6">
            <v>1.2945205479452055</v>
          </cell>
        </row>
        <row r="7">
          <cell r="C7">
            <v>3.4237288135593222</v>
          </cell>
        </row>
        <row r="8">
          <cell r="C8">
            <v>1.0292397660818713</v>
          </cell>
        </row>
        <row r="9">
          <cell r="C9">
            <v>1.868421052631579</v>
          </cell>
        </row>
        <row r="10">
          <cell r="C10">
            <v>1.5723981900452488</v>
          </cell>
        </row>
        <row r="11">
          <cell r="C11">
            <v>1.7851851851851852</v>
          </cell>
        </row>
        <row r="12">
          <cell r="C12">
            <v>0.67368421052631577</v>
          </cell>
        </row>
        <row r="13">
          <cell r="C13">
            <v>1.2126168224299065</v>
          </cell>
        </row>
        <row r="14">
          <cell r="C14">
            <v>1.8947368421052631</v>
          </cell>
        </row>
        <row r="15">
          <cell r="C15">
            <v>1.7605633802816902</v>
          </cell>
        </row>
        <row r="16">
          <cell r="C16">
            <v>3.5679012345679011</v>
          </cell>
        </row>
        <row r="17">
          <cell r="C17">
            <v>1.5964912280701755</v>
          </cell>
        </row>
        <row r="18">
          <cell r="C18">
            <v>4.364583333333333</v>
          </cell>
        </row>
        <row r="19">
          <cell r="C19">
            <v>1.5</v>
          </cell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</sheetData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DANA ISKAKOVA" refreshedDate="43181.738152083337" createdVersion="4" refreshedVersion="4" minRefreshableVersion="3" recordCount="16" xr:uid="{00000000-000A-0000-FFFF-FFFF00000000}">
  <cacheSource type="worksheet">
    <worksheetSource name="Tableau7"/>
  </cacheSource>
  <cacheFields count="9">
    <cacheField name="CodeC" numFmtId="0">
      <sharedItems containsSemiMixedTypes="0" containsString="0" containsNumber="1" containsInteger="1" minValue="1" maxValue="17"/>
    </cacheField>
    <cacheField name="NomC" numFmtId="0">
      <sharedItems count="11">
        <s v="Zahn"/>
        <s v="Hachemi"/>
        <s v="Rakotondrazafy"/>
        <s v="Deker"/>
        <s v="Sardou"/>
        <s v="Fufu"/>
        <s v="Cooper"/>
        <s v="Bobou"/>
        <s v="Kent"/>
        <s v="Luthor"/>
        <s v="Filou"/>
      </sharedItems>
    </cacheField>
    <cacheField name="VilleC" numFmtId="0">
      <sharedItems count="11">
        <s v="Eaunes"/>
        <s v="Toulouse"/>
        <s v="Bordeaux"/>
        <s v="Biesheim"/>
        <s v="Connemara"/>
        <s v="Draguignan"/>
        <s v="Lorient"/>
        <s v="Paris"/>
        <s v="Beauvais"/>
        <s v="Grandrieu"/>
        <s v="Nice"/>
      </sharedItems>
    </cacheField>
    <cacheField name="RegionC" numFmtId="0">
      <sharedItems count="8">
        <s v="Occitanie"/>
        <s v="Nouvelle-Aquitaine"/>
        <s v="Grand Est"/>
        <s v="Bourgogne-Franche-Comté"/>
        <s v="Provence-Alpes-Côte d'Azur"/>
        <s v="Bretagne"/>
        <s v="Île-de-France"/>
        <s v="Hauts-de-France"/>
      </sharedItems>
    </cacheField>
    <cacheField name="CodeSoc" numFmtId="0">
      <sharedItems/>
    </cacheField>
    <cacheField name="CodeG" numFmtId="0">
      <sharedItems containsSemiMixedTypes="0" containsString="0" containsNumber="1" containsInteger="1" minValue="1" maxValue="9"/>
    </cacheField>
    <cacheField name="NomG" numFmtId="0">
      <sharedItems count="9">
        <s v="Tourisme monospace"/>
        <s v="Utilitaire 6m3"/>
        <s v="Utilitaire 20m3"/>
        <s v="Tourisme compacte"/>
        <s v="Tourisme citadine"/>
        <s v="Utilitaire 12m3"/>
        <s v="Tourisme grande"/>
        <s v="Utilitaire 3m3"/>
        <s v="Utilitaire 9m3"/>
      </sharedItems>
    </cacheField>
    <cacheField name="Année" numFmtId="0">
      <sharedItems containsSemiMixedTypes="0" containsString="0" containsNumber="1" containsInteger="1" minValue="2017" maxValue="2018" count="2">
        <n v="2017"/>
        <n v="2018"/>
      </sharedItems>
    </cacheField>
    <cacheField name="nombre de réservations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n v="1"/>
    <x v="0"/>
    <x v="0"/>
    <x v="0"/>
    <s v="10324156896232"/>
    <n v="4"/>
    <x v="0"/>
    <x v="0"/>
    <n v="1"/>
  </r>
  <r>
    <n v="3"/>
    <x v="1"/>
    <x v="1"/>
    <x v="0"/>
    <s v=""/>
    <n v="6"/>
    <x v="1"/>
    <x v="1"/>
    <n v="1"/>
  </r>
  <r>
    <n v="3"/>
    <x v="1"/>
    <x v="1"/>
    <x v="0"/>
    <s v=""/>
    <n v="9"/>
    <x v="2"/>
    <x v="1"/>
    <n v="1"/>
  </r>
  <r>
    <n v="4"/>
    <x v="2"/>
    <x v="2"/>
    <x v="1"/>
    <s v="58894562315789"/>
    <n v="2"/>
    <x v="3"/>
    <x v="0"/>
    <n v="1"/>
  </r>
  <r>
    <n v="4"/>
    <x v="2"/>
    <x v="2"/>
    <x v="1"/>
    <s v="58894562315789"/>
    <n v="2"/>
    <x v="3"/>
    <x v="1"/>
    <n v="1"/>
  </r>
  <r>
    <n v="5"/>
    <x v="3"/>
    <x v="3"/>
    <x v="2"/>
    <s v=""/>
    <n v="1"/>
    <x v="4"/>
    <x v="1"/>
    <n v="1"/>
  </r>
  <r>
    <n v="6"/>
    <x v="4"/>
    <x v="4"/>
    <x v="3"/>
    <s v="54254658420232"/>
    <n v="2"/>
    <x v="3"/>
    <x v="1"/>
    <n v="1"/>
  </r>
  <r>
    <n v="7"/>
    <x v="5"/>
    <x v="5"/>
    <x v="4"/>
    <s v=""/>
    <n v="8"/>
    <x v="5"/>
    <x v="0"/>
    <n v="1"/>
  </r>
  <r>
    <n v="8"/>
    <x v="6"/>
    <x v="6"/>
    <x v="5"/>
    <s v="86580153468432"/>
    <n v="3"/>
    <x v="6"/>
    <x v="1"/>
    <n v="1"/>
  </r>
  <r>
    <n v="9"/>
    <x v="7"/>
    <x v="7"/>
    <x v="6"/>
    <s v="13568689875442"/>
    <n v="5"/>
    <x v="7"/>
    <x v="0"/>
    <n v="1"/>
  </r>
  <r>
    <n v="9"/>
    <x v="7"/>
    <x v="7"/>
    <x v="6"/>
    <s v="13568689875442"/>
    <n v="7"/>
    <x v="8"/>
    <x v="0"/>
    <n v="1"/>
  </r>
  <r>
    <n v="12"/>
    <x v="8"/>
    <x v="8"/>
    <x v="7"/>
    <s v="46142442762117"/>
    <n v="9"/>
    <x v="2"/>
    <x v="1"/>
    <n v="1"/>
  </r>
  <r>
    <n v="13"/>
    <x v="8"/>
    <x v="8"/>
    <x v="7"/>
    <s v=""/>
    <n v="3"/>
    <x v="6"/>
    <x v="0"/>
    <n v="1"/>
  </r>
  <r>
    <n v="13"/>
    <x v="8"/>
    <x v="8"/>
    <x v="7"/>
    <s v=""/>
    <n v="3"/>
    <x v="6"/>
    <x v="1"/>
    <n v="1"/>
  </r>
  <r>
    <n v="15"/>
    <x v="9"/>
    <x v="9"/>
    <x v="0"/>
    <s v=""/>
    <n v="5"/>
    <x v="7"/>
    <x v="0"/>
    <n v="1"/>
  </r>
  <r>
    <n v="17"/>
    <x v="10"/>
    <x v="10"/>
    <x v="4"/>
    <s v="68424454865353"/>
    <n v="8"/>
    <x v="5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eau croisé dynamique1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4" indent="0" outline="1" outlineData="1" multipleFieldFilters="0" chartFormat="5" rowHeaderCaption="Année" colHeaderCaption="Information sur client">
  <location ref="A3:AI21" firstHeaderRow="1" firstDataRow="4" firstDataCol="1"/>
  <pivotFields count="9">
    <pivotField showAll="0"/>
    <pivotField axis="axisCol" showAll="0">
      <items count="12">
        <item x="7"/>
        <item x="6"/>
        <item x="3"/>
        <item x="10"/>
        <item x="5"/>
        <item x="1"/>
        <item x="8"/>
        <item x="9"/>
        <item x="2"/>
        <item x="4"/>
        <item x="0"/>
        <item t="default"/>
      </items>
    </pivotField>
    <pivotField axis="axisCol" showAll="0">
      <items count="12">
        <item x="8"/>
        <item x="3"/>
        <item x="2"/>
        <item x="4"/>
        <item x="5"/>
        <item x="0"/>
        <item x="9"/>
        <item x="6"/>
        <item x="10"/>
        <item x="7"/>
        <item x="1"/>
        <item t="default"/>
      </items>
    </pivotField>
    <pivotField axis="axisCol" showAll="0">
      <items count="9">
        <item x="3"/>
        <item x="5"/>
        <item x="2"/>
        <item x="7"/>
        <item x="6"/>
        <item x="1"/>
        <item x="0"/>
        <item x="4"/>
        <item t="default"/>
      </items>
    </pivotField>
    <pivotField showAll="0"/>
    <pivotField showAll="0"/>
    <pivotField axis="axisRow" showAll="0">
      <items count="10">
        <item x="4"/>
        <item x="3"/>
        <item x="6"/>
        <item x="0"/>
        <item x="5"/>
        <item x="2"/>
        <item x="7"/>
        <item x="1"/>
        <item x="8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2">
    <field x="7"/>
    <field x="6"/>
  </rowFields>
  <rowItems count="15">
    <i>
      <x/>
    </i>
    <i r="1">
      <x v="1"/>
    </i>
    <i r="1">
      <x v="2"/>
    </i>
    <i r="1">
      <x v="3"/>
    </i>
    <i r="1">
      <x v="4"/>
    </i>
    <i r="1">
      <x v="6"/>
    </i>
    <i r="1">
      <x v="8"/>
    </i>
    <i>
      <x v="1"/>
    </i>
    <i r="1">
      <x/>
    </i>
    <i r="1">
      <x v="1"/>
    </i>
    <i r="1">
      <x v="2"/>
    </i>
    <i r="1">
      <x v="4"/>
    </i>
    <i r="1">
      <x v="5"/>
    </i>
    <i r="1">
      <x v="7"/>
    </i>
    <i t="grand">
      <x/>
    </i>
  </rowItems>
  <colFields count="3">
    <field x="1"/>
    <field x="3"/>
    <field x="2"/>
  </colFields>
  <colItems count="34">
    <i>
      <x/>
      <x v="4"/>
      <x v="9"/>
    </i>
    <i t="default" r="1">
      <x v="4"/>
    </i>
    <i t="default">
      <x/>
    </i>
    <i>
      <x v="1"/>
      <x v="1"/>
      <x v="7"/>
    </i>
    <i t="default" r="1">
      <x v="1"/>
    </i>
    <i t="default">
      <x v="1"/>
    </i>
    <i>
      <x v="2"/>
      <x v="2"/>
      <x v="1"/>
    </i>
    <i t="default" r="1">
      <x v="2"/>
    </i>
    <i t="default">
      <x v="2"/>
    </i>
    <i>
      <x v="3"/>
      <x v="7"/>
      <x v="8"/>
    </i>
    <i t="default" r="1">
      <x v="7"/>
    </i>
    <i t="default">
      <x v="3"/>
    </i>
    <i>
      <x v="4"/>
      <x v="7"/>
      <x v="4"/>
    </i>
    <i t="default" r="1">
      <x v="7"/>
    </i>
    <i t="default">
      <x v="4"/>
    </i>
    <i>
      <x v="5"/>
      <x v="6"/>
      <x v="10"/>
    </i>
    <i t="default" r="1">
      <x v="6"/>
    </i>
    <i t="default">
      <x v="5"/>
    </i>
    <i>
      <x v="6"/>
      <x v="3"/>
      <x/>
    </i>
    <i t="default" r="1">
      <x v="3"/>
    </i>
    <i t="default">
      <x v="6"/>
    </i>
    <i>
      <x v="7"/>
      <x v="6"/>
      <x v="6"/>
    </i>
    <i t="default" r="1">
      <x v="6"/>
    </i>
    <i t="default">
      <x v="7"/>
    </i>
    <i>
      <x v="8"/>
      <x v="5"/>
      <x v="2"/>
    </i>
    <i t="default" r="1">
      <x v="5"/>
    </i>
    <i t="default">
      <x v="8"/>
    </i>
    <i>
      <x v="9"/>
      <x/>
      <x v="3"/>
    </i>
    <i t="default" r="1">
      <x/>
    </i>
    <i t="default">
      <x v="9"/>
    </i>
    <i>
      <x v="10"/>
      <x v="6"/>
      <x v="5"/>
    </i>
    <i t="default" r="1">
      <x v="6"/>
    </i>
    <i t="default">
      <x v="10"/>
    </i>
    <i t="grand">
      <x/>
    </i>
  </colItems>
  <dataFields count="1">
    <dataField name="Le nombre de réservations" fld="8" baseField="0" baseItem="0"/>
  </dataFields>
  <chartFormats count="115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4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7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6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6"/>
          </reference>
        </references>
      </pivotArea>
    </chartFormat>
    <chartFormat chart="1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4"/>
          </reference>
        </references>
      </pivotArea>
    </chartFormat>
    <chartFormat chart="1" format="1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1" format="3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7"/>
          </reference>
        </references>
      </pivotArea>
    </chartFormat>
    <chartFormat chart="1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1" format="5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6"/>
          </reference>
        </references>
      </pivotArea>
    </chartFormat>
    <chartFormat chart="1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1" format="7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6"/>
          </reference>
        </references>
      </pivotArea>
    </chartFormat>
    <chartFormat chart="2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4"/>
          </reference>
        </references>
      </pivotArea>
    </chartFormat>
    <chartFormat chart="2" format="1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2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2" format="3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7"/>
          </reference>
        </references>
      </pivotArea>
    </chartFormat>
    <chartFormat chart="2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2" format="5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6"/>
          </reference>
        </references>
      </pivotArea>
    </chartFormat>
    <chartFormat chart="2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2" format="7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2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2" format="9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2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6"/>
          </reference>
        </references>
      </pivotArea>
    </chartFormat>
    <chartFormat chart="3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4"/>
          </reference>
        </references>
      </pivotArea>
    </chartFormat>
    <chartFormat chart="3" format="1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3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3" format="3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7"/>
          </reference>
        </references>
      </pivotArea>
    </chartFormat>
    <chartFormat chart="3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3" format="5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6"/>
          </reference>
        </references>
      </pivotArea>
    </chartFormat>
    <chartFormat chart="3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3" format="7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3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3" format="9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3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6"/>
          </reference>
        </references>
      </pivotArea>
    </chartFormat>
    <chartFormat chart="4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4"/>
          </reference>
        </references>
      </pivotArea>
    </chartFormat>
    <chartFormat chart="4" format="1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4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4" format="3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7"/>
          </reference>
        </references>
      </pivotArea>
    </chartFormat>
    <chartFormat chart="4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4" format="5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6"/>
          </reference>
        </references>
      </pivotArea>
    </chartFormat>
    <chartFormat chart="4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4" format="7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4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4" format="9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4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6"/>
          </reference>
        </references>
      </pivotArea>
    </chartFormat>
    <chartFormat chart="4" format="1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7" count="1" selected="0">
            <x v="1"/>
          </reference>
        </references>
      </pivotArea>
    </chartFormat>
    <chartFormat chart="4" format="1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4" format="1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1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7" count="1" selected="0">
            <x v="1"/>
          </reference>
        </references>
      </pivotArea>
    </chartFormat>
    <chartFormat chart="3" format="1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7" count="1" selected="0">
            <x v="1"/>
          </reference>
        </references>
      </pivotArea>
    </chartFormat>
    <chartFormat chart="3" format="1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3" format="1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1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7" count="1" selected="0">
            <x v="1"/>
          </reference>
        </references>
      </pivotArea>
    </chartFormat>
    <chartFormat chart="2" format="1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2" format="1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2" format="1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2" format="1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2" format="1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2" format="1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2" format="1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chartFormat>
    <chartFormat chart="2" format="1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2" format="2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1"/>
          </reference>
        </references>
      </pivotArea>
    </chartFormat>
    <chartFormat chart="2" format="2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1"/>
          </reference>
        </references>
      </pivotArea>
    </chartFormat>
    <chartFormat chart="2" format="2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7" count="1" selected="0">
            <x v="1"/>
          </reference>
        </references>
      </pivotArea>
    </chartFormat>
    <chartFormat chart="1" format="1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7" count="1" selected="0">
            <x v="1"/>
          </reference>
        </references>
      </pivotArea>
    </chartFormat>
    <chartFormat chart="1" format="1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1" format="1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1" format="1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1" format="1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1" format="1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1" format="1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1" format="1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chartFormat>
    <chartFormat chart="1" format="1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1" format="2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1"/>
          </reference>
        </references>
      </pivotArea>
    </chartFormat>
    <chartFormat chart="1" format="2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1"/>
          </reference>
        </references>
      </pivotArea>
    </chartFormat>
    <chartFormat chart="1" format="2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7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7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1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7" count="1" selected="0">
            <x v="1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C" xr10:uid="{00000000-0013-0000-FFFF-FFFF01000000}" sourceName="NomC">
  <pivotTables>
    <pivotTable tabId="15" name="Tableau croisé dynamique1"/>
  </pivotTables>
  <data>
    <tabular pivotCacheId="4">
      <items count="11">
        <i x="7" s="1"/>
        <i x="6" s="1"/>
        <i x="3" s="1"/>
        <i x="10" s="1"/>
        <i x="5" s="1"/>
        <i x="1" s="1"/>
        <i x="8" s="1"/>
        <i x="9" s="1"/>
        <i x="2" s="1"/>
        <i x="4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C" xr10:uid="{00000000-0014-0000-FFFF-FFFF01000000}" cache="Segment_NomC" caption="NomC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3" totalsRowShown="0" headerRowDxfId="31" dataDxfId="29" headerRowBorderDxfId="30" tableBorderDxfId="28" totalsRowBorderDxfId="27">
  <tableColumns count="6">
    <tableColumn id="1" xr3:uid="{00000000-0010-0000-0000-000001000000}" name="CodeSoc" dataDxfId="26"/>
    <tableColumn id="2" xr3:uid="{00000000-0010-0000-0000-000002000000}" name="NomSoc" dataDxfId="25"/>
    <tableColumn id="3" xr3:uid="{00000000-0010-0000-0000-000003000000}" name="VilleSoc" dataDxfId="24"/>
    <tableColumn id="5" xr3:uid="{00000000-0010-0000-0000-000005000000}" name="nomG" dataDxfId="23"/>
    <tableColumn id="6" xr3:uid="{00000000-0010-0000-0000-000006000000}" name="nombre de réservations" dataDxfId="22"/>
    <tableColumn id="7" xr3:uid="{00000000-0010-0000-0000-000007000000}" name="Durée totale prévisionnelle des réservations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au7" displayName="Tableau7" ref="A1:I17" totalsRowShown="0" headerRowDxfId="20" dataDxfId="18" headerRowBorderDxfId="19" tableBorderDxfId="17" totalsRowBorderDxfId="16" headerRowCellStyle="Normal_TU Réservations_privées" dataCellStyle="Normal_TU Réservations_privées">
  <tableColumns count="9">
    <tableColumn id="1" xr3:uid="{00000000-0010-0000-0100-000001000000}" name="CodeC" dataDxfId="15" dataCellStyle="Normal_TU Réservations_privées"/>
    <tableColumn id="2" xr3:uid="{00000000-0010-0000-0100-000002000000}" name="NomC" dataDxfId="14" dataCellStyle="Normal_TU Réservations_privées"/>
    <tableColumn id="3" xr3:uid="{00000000-0010-0000-0100-000003000000}" name="VilleC" dataDxfId="13" dataCellStyle="Normal_TU Réservations_privées"/>
    <tableColumn id="4" xr3:uid="{00000000-0010-0000-0100-000004000000}" name="RegionC" dataDxfId="12" dataCellStyle="Normal_TU Réservations_privées"/>
    <tableColumn id="5" xr3:uid="{00000000-0010-0000-0100-000005000000}" name="CodeSoc" dataDxfId="11" dataCellStyle="Normal_TU Réservations_privées"/>
    <tableColumn id="6" xr3:uid="{00000000-0010-0000-0100-000006000000}" name="CodeG" dataDxfId="10" dataCellStyle="Normal_TU Réservations_privées"/>
    <tableColumn id="7" xr3:uid="{00000000-0010-0000-0100-000007000000}" name="NomG" dataDxfId="9" dataCellStyle="Normal_TU Réservations_privées"/>
    <tableColumn id="8" xr3:uid="{00000000-0010-0000-0100-000008000000}" name="Année" dataDxfId="8" dataCellStyle="Normal_TU Réservations_privées"/>
    <tableColumn id="9" xr3:uid="{00000000-0010-0000-0100-000009000000}" name="nombre de réservations" dataDxfId="7" dataCellStyle="Normal_TU Réservations_privée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2:B7" totalsRowShown="0" headerRowDxfId="6" headerRowBorderDxfId="5" tableBorderDxfId="4">
  <tableColumns count="2">
    <tableColumn id="1" xr3:uid="{00000000-0010-0000-0200-000001000000}" name="Code Société" dataDxfId="3"/>
    <tableColumn id="2" xr3:uid="{00000000-0010-0000-0200-000002000000}" name="10324156896232" dataDxfId="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au9" displayName="Tableau9" ref="E17:F27" totalsRowShown="0">
  <autoFilter ref="E17:F27" xr:uid="{00000000-0009-0000-0100-000009000000}"/>
  <tableColumns count="2">
    <tableColumn id="1" xr3:uid="{00000000-0010-0000-0300-000001000000}" name="nomG" dataDxfId="1" dataCellStyle="Normal_TU Réservations_privées"/>
    <tableColumn id="2" xr3:uid="{00000000-0010-0000-0300-000002000000}" name="Nb de réservations pour la gamme" dataDxfId="0">
      <calculatedColumnFormula>COUNTIF($C$14:$C$28,E18)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A1:AQ178"/>
  <sheetViews>
    <sheetView zoomScale="115" zoomScaleNormal="115" workbookViewId="0">
      <selection activeCell="E18" sqref="E18"/>
    </sheetView>
  </sheetViews>
  <sheetFormatPr baseColWidth="10" defaultColWidth="9.140625" defaultRowHeight="15" x14ac:dyDescent="0.25"/>
  <cols>
    <col min="1" max="1" width="16.85546875" bestFit="1" customWidth="1"/>
    <col min="2" max="2" width="15" customWidth="1"/>
    <col min="3" max="3" width="16.42578125" bestFit="1" customWidth="1"/>
    <col min="4" max="4" width="16.42578125" customWidth="1"/>
    <col min="5" max="5" width="22.42578125" bestFit="1" customWidth="1"/>
    <col min="6" max="6" width="41.140625" bestFit="1" customWidth="1"/>
    <col min="7" max="7" width="10.140625" bestFit="1" customWidth="1"/>
    <col min="8" max="8" width="20" bestFit="1" customWidth="1"/>
    <col min="10" max="10" width="14" bestFit="1" customWidth="1"/>
    <col min="12" max="12" width="10.7109375" bestFit="1" customWidth="1"/>
    <col min="14" max="14" width="10.5703125" bestFit="1" customWidth="1"/>
  </cols>
  <sheetData>
    <row r="1" spans="1:43" x14ac:dyDescent="0.25">
      <c r="A1" s="44" t="s">
        <v>0</v>
      </c>
      <c r="B1" s="44" t="s">
        <v>4</v>
      </c>
      <c r="C1" s="44" t="s">
        <v>5</v>
      </c>
      <c r="D1" s="44" t="s">
        <v>39</v>
      </c>
      <c r="E1" s="44" t="s">
        <v>40</v>
      </c>
      <c r="F1" s="44" t="s">
        <v>41</v>
      </c>
      <c r="G1" s="3"/>
      <c r="H1" s="3"/>
      <c r="I1" s="3"/>
      <c r="J1" s="3"/>
      <c r="K1" s="3"/>
      <c r="L1" s="3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30" x14ac:dyDescent="0.25">
      <c r="A2" s="40" t="s">
        <v>42</v>
      </c>
      <c r="B2" s="20" t="s">
        <v>6</v>
      </c>
      <c r="C2" s="20" t="s">
        <v>7</v>
      </c>
      <c r="D2" s="20" t="s">
        <v>24</v>
      </c>
      <c r="E2" s="19">
        <v>1</v>
      </c>
      <c r="F2" s="19">
        <v>20</v>
      </c>
      <c r="G2" s="17"/>
      <c r="H2" s="17"/>
      <c r="I2" s="3"/>
      <c r="J2" s="3"/>
      <c r="K2" s="3"/>
      <c r="L2" s="6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30" x14ac:dyDescent="0.25">
      <c r="A3" s="40" t="s">
        <v>43</v>
      </c>
      <c r="B3" s="20" t="s">
        <v>44</v>
      </c>
      <c r="C3" s="20" t="s">
        <v>45</v>
      </c>
      <c r="D3" s="20" t="s">
        <v>24</v>
      </c>
      <c r="E3" s="19">
        <v>1</v>
      </c>
      <c r="F3" s="19">
        <v>9</v>
      </c>
      <c r="G3" s="17"/>
      <c r="H3" s="17"/>
      <c r="I3" s="3"/>
      <c r="J3" s="3"/>
      <c r="K3" s="2"/>
      <c r="L3" s="5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x14ac:dyDescent="0.25">
      <c r="A4" s="40" t="s">
        <v>43</v>
      </c>
      <c r="B4" s="20" t="s">
        <v>44</v>
      </c>
      <c r="C4" s="20" t="s">
        <v>45</v>
      </c>
      <c r="D4" s="20" t="s">
        <v>47</v>
      </c>
      <c r="E4" s="19">
        <v>1</v>
      </c>
      <c r="F4" s="19">
        <v>2</v>
      </c>
      <c r="G4" s="17"/>
      <c r="H4" s="17"/>
      <c r="I4" s="3"/>
      <c r="J4" s="3"/>
      <c r="K4" s="2"/>
      <c r="L4" s="5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30" x14ac:dyDescent="0.25">
      <c r="A5" s="40" t="s">
        <v>48</v>
      </c>
      <c r="B5" s="20" t="s">
        <v>49</v>
      </c>
      <c r="C5" s="20" t="s">
        <v>31</v>
      </c>
      <c r="D5" s="20" t="s">
        <v>25</v>
      </c>
      <c r="E5" s="19">
        <v>2</v>
      </c>
      <c r="F5" s="19">
        <v>48</v>
      </c>
      <c r="G5" s="17"/>
      <c r="H5" s="17"/>
      <c r="I5" s="3"/>
      <c r="J5" s="3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x14ac:dyDescent="0.25">
      <c r="A6" s="40" t="s">
        <v>50</v>
      </c>
      <c r="B6" s="20" t="s">
        <v>51</v>
      </c>
      <c r="C6" s="20" t="s">
        <v>52</v>
      </c>
      <c r="D6" s="20" t="s">
        <v>26</v>
      </c>
      <c r="E6" s="19">
        <v>1</v>
      </c>
      <c r="F6" s="19">
        <v>6</v>
      </c>
      <c r="G6" s="17"/>
      <c r="H6" s="17"/>
      <c r="I6" s="3"/>
      <c r="J6" s="3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43" x14ac:dyDescent="0.25">
      <c r="A7" s="40" t="s">
        <v>50</v>
      </c>
      <c r="B7" s="20" t="s">
        <v>51</v>
      </c>
      <c r="C7" s="20" t="s">
        <v>52</v>
      </c>
      <c r="D7" s="20" t="s">
        <v>26</v>
      </c>
      <c r="E7" s="19">
        <v>1</v>
      </c>
      <c r="F7" s="19">
        <v>6</v>
      </c>
      <c r="G7" s="17"/>
      <c r="H7" s="17"/>
      <c r="I7" s="3"/>
      <c r="J7" s="3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43" ht="30" x14ac:dyDescent="0.25">
      <c r="A8" s="40" t="s">
        <v>54</v>
      </c>
      <c r="B8" s="20" t="s">
        <v>10</v>
      </c>
      <c r="C8" s="20" t="s">
        <v>12</v>
      </c>
      <c r="D8" s="20" t="s">
        <v>25</v>
      </c>
      <c r="E8" s="19">
        <v>2</v>
      </c>
      <c r="F8" s="19">
        <v>25</v>
      </c>
      <c r="G8" s="17"/>
      <c r="H8" s="17"/>
      <c r="I8" s="3"/>
      <c r="J8" s="3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43" x14ac:dyDescent="0.25">
      <c r="A9" s="40" t="s">
        <v>54</v>
      </c>
      <c r="B9" s="20" t="s">
        <v>10</v>
      </c>
      <c r="C9" s="20" t="s">
        <v>12</v>
      </c>
      <c r="D9" s="20" t="s">
        <v>28</v>
      </c>
      <c r="E9" s="19">
        <v>1</v>
      </c>
      <c r="F9" s="19">
        <v>3</v>
      </c>
      <c r="G9" s="17"/>
      <c r="H9" s="17"/>
      <c r="I9" s="3"/>
      <c r="J9" s="3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43" x14ac:dyDescent="0.25">
      <c r="A10" s="40" t="s">
        <v>55</v>
      </c>
      <c r="B10" s="20" t="s">
        <v>56</v>
      </c>
      <c r="C10" s="20" t="s">
        <v>57</v>
      </c>
      <c r="D10" s="20" t="s">
        <v>26</v>
      </c>
      <c r="E10" s="19">
        <v>1</v>
      </c>
      <c r="F10" s="19">
        <v>7</v>
      </c>
      <c r="G10" s="17"/>
      <c r="H10" s="17"/>
      <c r="I10" s="3"/>
      <c r="J10" s="3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43" ht="30" x14ac:dyDescent="0.25">
      <c r="A11" s="40" t="s">
        <v>55</v>
      </c>
      <c r="B11" s="20" t="s">
        <v>56</v>
      </c>
      <c r="C11" s="20" t="s">
        <v>57</v>
      </c>
      <c r="D11" s="20" t="s">
        <v>27</v>
      </c>
      <c r="E11" s="19">
        <v>1</v>
      </c>
      <c r="F11" s="19">
        <v>44</v>
      </c>
      <c r="G11" s="4"/>
      <c r="H11" s="4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43" ht="30" x14ac:dyDescent="0.25">
      <c r="A12" s="40" t="s">
        <v>59</v>
      </c>
      <c r="B12" s="20" t="s">
        <v>60</v>
      </c>
      <c r="C12" s="20" t="s">
        <v>61</v>
      </c>
      <c r="D12" s="20" t="s">
        <v>27</v>
      </c>
      <c r="E12" s="19">
        <v>1</v>
      </c>
      <c r="F12" s="19">
        <v>10</v>
      </c>
      <c r="G12" s="4"/>
      <c r="H12" s="4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43" x14ac:dyDescent="0.25">
      <c r="A13" s="41" t="s">
        <v>63</v>
      </c>
      <c r="B13" s="42" t="s">
        <v>64</v>
      </c>
      <c r="C13" s="42" t="s">
        <v>65</v>
      </c>
      <c r="D13" s="42" t="s">
        <v>66</v>
      </c>
      <c r="E13" s="43">
        <v>1</v>
      </c>
      <c r="F13" s="43">
        <v>4</v>
      </c>
      <c r="G13" s="4"/>
      <c r="H13" s="4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43" x14ac:dyDescent="0.25">
      <c r="A14" s="2"/>
      <c r="B14" s="2"/>
      <c r="C14" s="2"/>
      <c r="D14" s="2"/>
      <c r="E14" s="2"/>
      <c r="F14" s="2"/>
      <c r="G14" s="4"/>
      <c r="H14" s="4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43" x14ac:dyDescent="0.25">
      <c r="G15" s="4"/>
      <c r="H15" s="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43" x14ac:dyDescent="0.25">
      <c r="A16" s="47"/>
      <c r="B16" s="47"/>
      <c r="C16" s="47"/>
      <c r="D16" s="47"/>
      <c r="E16" s="47"/>
      <c r="F16" s="47"/>
      <c r="G16" s="4"/>
      <c r="H16" s="4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45"/>
      <c r="B17" s="46"/>
      <c r="C17" s="46"/>
      <c r="D17" s="46"/>
      <c r="E17" s="23"/>
      <c r="F17" s="23"/>
      <c r="G17" s="4"/>
      <c r="H17" s="4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40"/>
      <c r="B18" s="20"/>
      <c r="C18" s="20"/>
      <c r="D18" s="20"/>
      <c r="E18" s="19"/>
      <c r="F18" s="19"/>
      <c r="G18" s="4"/>
      <c r="H18" s="4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40"/>
      <c r="B19" s="20"/>
      <c r="C19" s="20"/>
      <c r="D19" s="20"/>
      <c r="E19" s="19"/>
      <c r="F19" s="19"/>
      <c r="G19" s="4"/>
      <c r="H19" s="4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40"/>
      <c r="B20" s="20"/>
      <c r="C20" s="20"/>
      <c r="D20" s="20"/>
      <c r="E20" s="19"/>
      <c r="F20" s="19"/>
      <c r="G20" s="4"/>
      <c r="H20" s="4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5">
      <c r="A21" s="40"/>
      <c r="B21" s="20"/>
      <c r="C21" s="20"/>
      <c r="D21" s="20"/>
      <c r="E21" s="19"/>
      <c r="F21" s="19"/>
      <c r="G21" s="4"/>
      <c r="H21" s="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40"/>
      <c r="B22" s="20"/>
      <c r="C22" s="20"/>
      <c r="D22" s="20"/>
      <c r="E22" s="19"/>
      <c r="F22" s="19"/>
      <c r="G22" s="4"/>
      <c r="H22" s="4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5">
      <c r="A23" s="40"/>
      <c r="B23" s="20"/>
      <c r="C23" s="20"/>
      <c r="D23" s="20"/>
      <c r="E23" s="19"/>
      <c r="F23" s="19"/>
      <c r="G23" s="4"/>
      <c r="H23" s="4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5">
      <c r="A24" s="40"/>
      <c r="B24" s="20"/>
      <c r="C24" s="20"/>
      <c r="D24" s="20"/>
      <c r="E24" s="19"/>
      <c r="F24" s="19"/>
      <c r="G24" s="4"/>
      <c r="H24" s="4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40"/>
      <c r="B25" s="20"/>
      <c r="C25" s="20"/>
      <c r="D25" s="20"/>
      <c r="E25" s="19"/>
      <c r="F25" s="19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40"/>
      <c r="B26" s="20"/>
      <c r="C26" s="20"/>
      <c r="D26" s="20"/>
      <c r="E26" s="19"/>
      <c r="F26" s="19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40"/>
      <c r="B27" s="20"/>
      <c r="C27" s="20"/>
      <c r="D27" s="20"/>
      <c r="E27" s="19"/>
      <c r="F27" s="19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40"/>
      <c r="B28" s="20"/>
      <c r="C28" s="20"/>
      <c r="D28" s="20"/>
      <c r="E28" s="19"/>
      <c r="F28" s="19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FF0000"/>
  </sheetPr>
  <dimension ref="A1:M27"/>
  <sheetViews>
    <sheetView workbookViewId="0">
      <selection activeCell="B10" sqref="B10"/>
    </sheetView>
  </sheetViews>
  <sheetFormatPr baseColWidth="10" defaultColWidth="9.140625" defaultRowHeight="15" x14ac:dyDescent="0.25"/>
  <cols>
    <col min="1" max="1" width="10.7109375" customWidth="1"/>
    <col min="2" max="2" width="10.7109375" bestFit="1" customWidth="1"/>
    <col min="3" max="3" width="11.28515625" customWidth="1"/>
    <col min="4" max="5" width="16.28515625" customWidth="1"/>
    <col min="6" max="6" width="20.7109375" customWidth="1"/>
    <col min="7" max="7" width="19.28515625" style="7" customWidth="1"/>
    <col min="8" max="8" width="22.7109375" style="7" customWidth="1"/>
    <col min="9" max="9" width="24.28515625" style="7" customWidth="1"/>
    <col min="10" max="10" width="10.85546875" style="16" customWidth="1"/>
    <col min="12" max="12" width="10.7109375" bestFit="1" customWidth="1"/>
    <col min="13" max="13" width="19.7109375" customWidth="1"/>
  </cols>
  <sheetData>
    <row r="1" spans="1:13" x14ac:dyDescent="0.25">
      <c r="A1" s="61" t="s">
        <v>87</v>
      </c>
      <c r="B1" s="61" t="s">
        <v>9</v>
      </c>
      <c r="C1" s="61" t="s">
        <v>30</v>
      </c>
      <c r="D1" s="61" t="s">
        <v>67</v>
      </c>
      <c r="E1" s="61" t="s">
        <v>0</v>
      </c>
      <c r="F1" s="61" t="s">
        <v>88</v>
      </c>
      <c r="G1" s="61" t="s">
        <v>89</v>
      </c>
      <c r="H1" s="61" t="s">
        <v>81</v>
      </c>
      <c r="I1" s="61" t="s">
        <v>40</v>
      </c>
      <c r="J1" s="30"/>
      <c r="K1" s="70"/>
      <c r="L1" s="31"/>
      <c r="M1" s="31"/>
    </row>
    <row r="2" spans="1:13" ht="30" x14ac:dyDescent="0.25">
      <c r="A2" s="22">
        <v>1</v>
      </c>
      <c r="B2" s="21" t="s">
        <v>21</v>
      </c>
      <c r="C2" s="21" t="s">
        <v>78</v>
      </c>
      <c r="D2" s="21" t="s">
        <v>36</v>
      </c>
      <c r="E2" s="21" t="s">
        <v>42</v>
      </c>
      <c r="F2" s="22">
        <v>4</v>
      </c>
      <c r="G2" s="21" t="s">
        <v>27</v>
      </c>
      <c r="H2" s="22">
        <v>2017</v>
      </c>
      <c r="I2" s="22">
        <v>1</v>
      </c>
      <c r="J2" s="24"/>
      <c r="K2" s="69"/>
      <c r="L2" s="25"/>
      <c r="M2" s="26"/>
    </row>
    <row r="3" spans="1:13" x14ac:dyDescent="0.25">
      <c r="A3" s="22">
        <v>3</v>
      </c>
      <c r="B3" s="21" t="s">
        <v>22</v>
      </c>
      <c r="C3" s="21" t="s">
        <v>12</v>
      </c>
      <c r="D3" s="21" t="s">
        <v>36</v>
      </c>
      <c r="E3" s="21" t="s">
        <v>82</v>
      </c>
      <c r="F3" s="22">
        <v>6</v>
      </c>
      <c r="G3" s="21" t="s">
        <v>47</v>
      </c>
      <c r="H3" s="22">
        <v>2018</v>
      </c>
      <c r="I3" s="22">
        <v>1</v>
      </c>
      <c r="J3" s="24"/>
      <c r="K3" s="69"/>
      <c r="L3" s="27"/>
      <c r="M3" s="28"/>
    </row>
    <row r="4" spans="1:13" x14ac:dyDescent="0.25">
      <c r="A4" s="22">
        <v>3</v>
      </c>
      <c r="B4" s="21" t="s">
        <v>22</v>
      </c>
      <c r="C4" s="21" t="s">
        <v>12</v>
      </c>
      <c r="D4" s="21" t="s">
        <v>36</v>
      </c>
      <c r="E4" s="21" t="s">
        <v>82</v>
      </c>
      <c r="F4" s="22">
        <v>9</v>
      </c>
      <c r="G4" s="21" t="s">
        <v>66</v>
      </c>
      <c r="H4" s="22">
        <v>2018</v>
      </c>
      <c r="I4" s="22">
        <v>1</v>
      </c>
      <c r="J4" s="24"/>
      <c r="K4" s="69"/>
      <c r="L4" s="24"/>
      <c r="M4" s="29"/>
    </row>
    <row r="5" spans="1:13" ht="30" x14ac:dyDescent="0.25">
      <c r="A5" s="22">
        <v>4</v>
      </c>
      <c r="B5" s="21" t="s">
        <v>11</v>
      </c>
      <c r="C5" s="21" t="s">
        <v>31</v>
      </c>
      <c r="D5" s="21" t="s">
        <v>29</v>
      </c>
      <c r="E5" s="21" t="s">
        <v>54</v>
      </c>
      <c r="F5" s="22">
        <v>2</v>
      </c>
      <c r="G5" s="21" t="s">
        <v>25</v>
      </c>
      <c r="H5" s="22">
        <v>2017</v>
      </c>
      <c r="I5" s="22">
        <v>1</v>
      </c>
      <c r="J5" s="24"/>
      <c r="K5" s="69"/>
      <c r="L5" s="17"/>
      <c r="M5" s="32"/>
    </row>
    <row r="6" spans="1:13" ht="30" x14ac:dyDescent="0.25">
      <c r="A6" s="22">
        <v>4</v>
      </c>
      <c r="B6" s="21" t="s">
        <v>11</v>
      </c>
      <c r="C6" s="21" t="s">
        <v>31</v>
      </c>
      <c r="D6" s="21" t="s">
        <v>29</v>
      </c>
      <c r="E6" s="21" t="s">
        <v>54</v>
      </c>
      <c r="F6" s="22">
        <v>2</v>
      </c>
      <c r="G6" s="21" t="s">
        <v>25</v>
      </c>
      <c r="H6" s="22">
        <v>2018</v>
      </c>
      <c r="I6" s="22">
        <v>1</v>
      </c>
      <c r="J6" s="24"/>
      <c r="K6" s="69"/>
      <c r="L6" s="33"/>
      <c r="M6" s="34"/>
    </row>
    <row r="7" spans="1:13" x14ac:dyDescent="0.25">
      <c r="A7" s="22">
        <v>5</v>
      </c>
      <c r="B7" s="21" t="s">
        <v>20</v>
      </c>
      <c r="C7" s="21" t="s">
        <v>32</v>
      </c>
      <c r="D7" s="21" t="s">
        <v>33</v>
      </c>
      <c r="E7" s="21" t="s">
        <v>82</v>
      </c>
      <c r="F7" s="22">
        <v>1</v>
      </c>
      <c r="G7" s="21" t="s">
        <v>24</v>
      </c>
      <c r="H7" s="22">
        <v>2018</v>
      </c>
      <c r="I7" s="22">
        <v>1</v>
      </c>
      <c r="J7" s="24"/>
      <c r="K7" s="69"/>
      <c r="L7" s="33"/>
      <c r="M7" s="34"/>
    </row>
    <row r="8" spans="1:13" ht="30" x14ac:dyDescent="0.25">
      <c r="A8" s="22">
        <v>6</v>
      </c>
      <c r="B8" s="21" t="s">
        <v>23</v>
      </c>
      <c r="C8" s="21" t="s">
        <v>34</v>
      </c>
      <c r="D8" s="21" t="s">
        <v>35</v>
      </c>
      <c r="E8" s="21" t="s">
        <v>83</v>
      </c>
      <c r="F8" s="22">
        <v>2</v>
      </c>
      <c r="G8" s="21" t="s">
        <v>25</v>
      </c>
      <c r="H8" s="22">
        <v>2018</v>
      </c>
      <c r="I8" s="22">
        <v>1</v>
      </c>
      <c r="J8" s="33"/>
      <c r="K8" s="69"/>
      <c r="L8" s="3"/>
      <c r="M8" s="3"/>
    </row>
    <row r="9" spans="1:13" ht="30" x14ac:dyDescent="0.25">
      <c r="A9" s="22">
        <v>7</v>
      </c>
      <c r="B9" s="21" t="s">
        <v>73</v>
      </c>
      <c r="C9" s="21" t="s">
        <v>74</v>
      </c>
      <c r="D9" s="21" t="s">
        <v>72</v>
      </c>
      <c r="E9" s="21" t="s">
        <v>82</v>
      </c>
      <c r="F9" s="22">
        <v>8</v>
      </c>
      <c r="G9" s="21" t="s">
        <v>28</v>
      </c>
      <c r="H9" s="22">
        <v>2017</v>
      </c>
      <c r="I9" s="22">
        <v>1</v>
      </c>
      <c r="K9" s="69"/>
    </row>
    <row r="10" spans="1:13" x14ac:dyDescent="0.25">
      <c r="A10" s="22">
        <v>8</v>
      </c>
      <c r="B10" s="21" t="s">
        <v>62</v>
      </c>
      <c r="C10" s="21" t="s">
        <v>61</v>
      </c>
      <c r="D10" s="21" t="s">
        <v>70</v>
      </c>
      <c r="E10" s="21" t="s">
        <v>59</v>
      </c>
      <c r="F10" s="22">
        <v>3</v>
      </c>
      <c r="G10" s="21" t="s">
        <v>26</v>
      </c>
      <c r="H10" s="22">
        <v>2018</v>
      </c>
      <c r="I10" s="22">
        <v>1</v>
      </c>
      <c r="K10" s="69"/>
    </row>
    <row r="11" spans="1:13" x14ac:dyDescent="0.25">
      <c r="A11" s="22">
        <v>9</v>
      </c>
      <c r="B11" s="21" t="s">
        <v>46</v>
      </c>
      <c r="C11" s="21" t="s">
        <v>45</v>
      </c>
      <c r="D11" s="21" t="s">
        <v>68</v>
      </c>
      <c r="E11" s="21" t="s">
        <v>43</v>
      </c>
      <c r="F11" s="22">
        <v>5</v>
      </c>
      <c r="G11" s="21" t="s">
        <v>69</v>
      </c>
      <c r="H11" s="22">
        <v>2017</v>
      </c>
      <c r="I11" s="22">
        <v>1</v>
      </c>
      <c r="K11" s="69"/>
    </row>
    <row r="12" spans="1:13" x14ac:dyDescent="0.25">
      <c r="A12" s="22">
        <v>9</v>
      </c>
      <c r="B12" s="21" t="s">
        <v>46</v>
      </c>
      <c r="C12" s="21" t="s">
        <v>45</v>
      </c>
      <c r="D12" s="21" t="s">
        <v>68</v>
      </c>
      <c r="E12" s="21" t="s">
        <v>43</v>
      </c>
      <c r="F12" s="22">
        <v>7</v>
      </c>
      <c r="G12" s="21" t="s">
        <v>37</v>
      </c>
      <c r="H12" s="22">
        <v>2017</v>
      </c>
      <c r="I12" s="22">
        <v>1</v>
      </c>
      <c r="K12" s="69"/>
    </row>
    <row r="13" spans="1:13" x14ac:dyDescent="0.25">
      <c r="A13" s="22">
        <v>12</v>
      </c>
      <c r="B13" s="21" t="s">
        <v>53</v>
      </c>
      <c r="C13" s="21" t="s">
        <v>52</v>
      </c>
      <c r="D13" s="21" t="s">
        <v>75</v>
      </c>
      <c r="E13" s="21" t="s">
        <v>50</v>
      </c>
      <c r="F13" s="22">
        <v>9</v>
      </c>
      <c r="G13" s="21" t="s">
        <v>66</v>
      </c>
      <c r="H13" s="22">
        <v>2018</v>
      </c>
      <c r="I13" s="22">
        <v>1</v>
      </c>
      <c r="K13" s="69"/>
    </row>
    <row r="14" spans="1:13" x14ac:dyDescent="0.25">
      <c r="A14" s="22">
        <v>13</v>
      </c>
      <c r="B14" s="21" t="s">
        <v>53</v>
      </c>
      <c r="C14" s="21" t="s">
        <v>52</v>
      </c>
      <c r="D14" s="21" t="s">
        <v>75</v>
      </c>
      <c r="E14" s="21" t="s">
        <v>82</v>
      </c>
      <c r="F14" s="22">
        <v>3</v>
      </c>
      <c r="G14" s="21" t="s">
        <v>26</v>
      </c>
      <c r="H14" s="22">
        <v>2017</v>
      </c>
      <c r="I14" s="22">
        <v>1</v>
      </c>
      <c r="K14" s="69"/>
    </row>
    <row r="15" spans="1:13" x14ac:dyDescent="0.25">
      <c r="A15" s="22">
        <v>13</v>
      </c>
      <c r="B15" s="21" t="s">
        <v>53</v>
      </c>
      <c r="C15" s="21" t="s">
        <v>52</v>
      </c>
      <c r="D15" s="21" t="s">
        <v>75</v>
      </c>
      <c r="E15" s="21" t="s">
        <v>82</v>
      </c>
      <c r="F15" s="22">
        <v>3</v>
      </c>
      <c r="G15" s="21" t="s">
        <v>26</v>
      </c>
      <c r="H15" s="22">
        <v>2018</v>
      </c>
      <c r="I15" s="22">
        <v>1</v>
      </c>
      <c r="K15" s="69"/>
    </row>
    <row r="16" spans="1:13" x14ac:dyDescent="0.25">
      <c r="A16" s="22">
        <v>15</v>
      </c>
      <c r="B16" s="21" t="s">
        <v>76</v>
      </c>
      <c r="C16" s="21" t="s">
        <v>77</v>
      </c>
      <c r="D16" s="21" t="s">
        <v>36</v>
      </c>
      <c r="E16" s="21" t="s">
        <v>82</v>
      </c>
      <c r="F16" s="22">
        <v>5</v>
      </c>
      <c r="G16" s="21" t="s">
        <v>69</v>
      </c>
      <c r="H16" s="22">
        <v>2017</v>
      </c>
      <c r="I16" s="22">
        <v>1</v>
      </c>
      <c r="K16" s="69"/>
    </row>
    <row r="17" spans="1:11" ht="30" x14ac:dyDescent="0.25">
      <c r="A17" s="48">
        <v>17</v>
      </c>
      <c r="B17" s="68" t="s">
        <v>58</v>
      </c>
      <c r="C17" s="68" t="s">
        <v>71</v>
      </c>
      <c r="D17" s="68" t="s">
        <v>72</v>
      </c>
      <c r="E17" s="68" t="s">
        <v>55</v>
      </c>
      <c r="F17" s="48">
        <v>8</v>
      </c>
      <c r="G17" s="68" t="s">
        <v>28</v>
      </c>
      <c r="H17" s="48">
        <v>2018</v>
      </c>
      <c r="I17" s="48">
        <v>1</v>
      </c>
      <c r="K17" s="69"/>
    </row>
    <row r="18" spans="1:11" x14ac:dyDescent="0.25">
      <c r="I18" s="19"/>
    </row>
    <row r="19" spans="1:11" x14ac:dyDescent="0.25">
      <c r="I19" s="19"/>
    </row>
    <row r="20" spans="1:11" x14ac:dyDescent="0.25">
      <c r="I20" s="19"/>
    </row>
    <row r="21" spans="1:11" x14ac:dyDescent="0.25">
      <c r="I21" s="19"/>
    </row>
    <row r="22" spans="1:11" x14ac:dyDescent="0.25">
      <c r="I22" s="19"/>
    </row>
    <row r="23" spans="1:11" x14ac:dyDescent="0.25">
      <c r="I23" s="19"/>
    </row>
    <row r="24" spans="1:11" x14ac:dyDescent="0.25">
      <c r="I24" s="19"/>
    </row>
    <row r="25" spans="1:11" x14ac:dyDescent="0.25">
      <c r="I25" s="19"/>
    </row>
    <row r="26" spans="1:11" x14ac:dyDescent="0.25">
      <c r="I26" s="19"/>
    </row>
    <row r="27" spans="1:11" x14ac:dyDescent="0.25">
      <c r="I27" s="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tabColor theme="6"/>
  </sheetPr>
  <dimension ref="A3:C8"/>
  <sheetViews>
    <sheetView tabSelected="1" workbookViewId="0">
      <selection activeCell="G30" sqref="G30"/>
    </sheetView>
  </sheetViews>
  <sheetFormatPr baseColWidth="10" defaultColWidth="11.42578125" defaultRowHeight="14.25" x14ac:dyDescent="0.2"/>
  <cols>
    <col min="1" max="16384" width="11.42578125" style="1"/>
  </cols>
  <sheetData>
    <row r="3" spans="1:3" ht="15" x14ac:dyDescent="0.25">
      <c r="A3" s="10" t="s">
        <v>19</v>
      </c>
      <c r="B3" s="10"/>
      <c r="C3" s="10"/>
    </row>
    <row r="4" spans="1:3" x14ac:dyDescent="0.2">
      <c r="B4" s="1" t="s">
        <v>112</v>
      </c>
    </row>
    <row r="5" spans="1:3" ht="15" x14ac:dyDescent="0.2">
      <c r="A5" s="55" t="s">
        <v>13</v>
      </c>
      <c r="B5" s="55" t="s">
        <v>14</v>
      </c>
      <c r="C5" s="55" t="s">
        <v>15</v>
      </c>
    </row>
    <row r="6" spans="1:3" ht="15" x14ac:dyDescent="0.25">
      <c r="A6" s="18">
        <f>'Analyse reservation soc'!B7</f>
        <v>0.05</v>
      </c>
      <c r="B6" s="75">
        <v>0.1</v>
      </c>
      <c r="C6" s="9" t="s">
        <v>16</v>
      </c>
    </row>
    <row r="7" spans="1:3" ht="15" x14ac:dyDescent="0.25">
      <c r="A7" s="18">
        <f>1-A6</f>
        <v>0.95</v>
      </c>
      <c r="B7" s="75">
        <v>0.4</v>
      </c>
      <c r="C7" s="9" t="s">
        <v>17</v>
      </c>
    </row>
    <row r="8" spans="1:3" ht="15" x14ac:dyDescent="0.25">
      <c r="A8" s="8"/>
      <c r="B8" s="75">
        <f>1-(B6+B7)</f>
        <v>0.5</v>
      </c>
      <c r="C8" s="9" t="s">
        <v>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4"/>
  </sheetPr>
  <dimension ref="A1:K32"/>
  <sheetViews>
    <sheetView zoomScaleNormal="100" workbookViewId="0">
      <selection activeCell="B7" sqref="B7"/>
    </sheetView>
  </sheetViews>
  <sheetFormatPr baseColWidth="10" defaultColWidth="11.42578125" defaultRowHeight="15" x14ac:dyDescent="0.25"/>
  <cols>
    <col min="1" max="1" width="39" style="1" customWidth="1"/>
    <col min="2" max="2" width="30.42578125" style="1" customWidth="1"/>
    <col min="3" max="3" width="10.140625" style="1" customWidth="1"/>
    <col min="4" max="4" width="25.7109375" customWidth="1"/>
    <col min="5" max="5" width="18.5703125" style="1" customWidth="1"/>
    <col min="6" max="6" width="38" style="1" customWidth="1"/>
    <col min="7" max="7" width="11.42578125" style="1" customWidth="1"/>
    <col min="8" max="8" width="15.85546875" style="1" customWidth="1"/>
    <col min="9" max="9" width="12.42578125" style="1" customWidth="1"/>
    <col min="10" max="16384" width="11.42578125" style="1"/>
  </cols>
  <sheetData>
    <row r="1" spans="1:11" x14ac:dyDescent="0.25">
      <c r="D1" s="49" t="s">
        <v>0</v>
      </c>
    </row>
    <row r="2" spans="1:11" x14ac:dyDescent="0.25">
      <c r="A2" s="58" t="s">
        <v>1</v>
      </c>
      <c r="B2" s="59" t="s">
        <v>42</v>
      </c>
      <c r="D2" s="56" t="s">
        <v>42</v>
      </c>
      <c r="F2" s="35"/>
      <c r="G2" s="35"/>
    </row>
    <row r="3" spans="1:11" x14ac:dyDescent="0.25">
      <c r="A3" s="39" t="s">
        <v>2</v>
      </c>
      <c r="B3" s="12" t="str">
        <f>VLOOKUP(B2,TU_Réservation_Soc!A1:T367,2,FALSE)</f>
        <v>Bilal &amp; Co</v>
      </c>
      <c r="D3" s="57" t="s">
        <v>43</v>
      </c>
      <c r="F3" s="36"/>
      <c r="G3" s="36"/>
    </row>
    <row r="4" spans="1:11" x14ac:dyDescent="0.25">
      <c r="A4" s="39" t="s">
        <v>3</v>
      </c>
      <c r="B4" s="12" t="str">
        <f>VLOOKUP(B2,TU_Réservation_Soc!A1:R159,3,FALSE)</f>
        <v>Strasbourg</v>
      </c>
      <c r="D4" s="57" t="s">
        <v>48</v>
      </c>
      <c r="F4" s="37"/>
      <c r="G4" s="37"/>
    </row>
    <row r="5" spans="1:11" x14ac:dyDescent="0.25">
      <c r="A5" s="39" t="s">
        <v>8</v>
      </c>
      <c r="B5" s="12">
        <f>SUMIF(TU_Réservation_Soc!A:A,B2,TU_Réservation_Soc!E:E)</f>
        <v>1</v>
      </c>
      <c r="D5" s="56" t="s">
        <v>50</v>
      </c>
    </row>
    <row r="6" spans="1:11" x14ac:dyDescent="0.25">
      <c r="A6" s="39" t="s">
        <v>80</v>
      </c>
      <c r="B6" s="12">
        <f>SUMIF(TU_Réservation_Soc!A1:A500,B2,TU_Réservation_Soc!F:F)</f>
        <v>20</v>
      </c>
      <c r="D6" s="56" t="s">
        <v>54</v>
      </c>
    </row>
    <row r="7" spans="1:11" x14ac:dyDescent="0.25">
      <c r="A7" s="1" t="s">
        <v>79</v>
      </c>
      <c r="B7" s="11">
        <f>IF(B5="","",B5/B6)</f>
        <v>0.05</v>
      </c>
      <c r="D7" s="56" t="s">
        <v>55</v>
      </c>
    </row>
    <row r="8" spans="1:11" x14ac:dyDescent="0.25">
      <c r="D8" s="50" t="s">
        <v>59</v>
      </c>
    </row>
    <row r="9" spans="1:11" ht="30" customHeight="1" x14ac:dyDescent="0.25">
      <c r="A9" s="49" t="s">
        <v>0</v>
      </c>
      <c r="D9" s="54" t="s">
        <v>63</v>
      </c>
      <c r="H9" s="38"/>
      <c r="I9" s="38"/>
      <c r="J9" s="38"/>
      <c r="K9" s="51"/>
    </row>
    <row r="10" spans="1:11" ht="30" customHeight="1" x14ac:dyDescent="0.3">
      <c r="A10" s="1" t="str">
        <f>B2</f>
        <v>10324156896232</v>
      </c>
      <c r="B10" s="71"/>
      <c r="C10" s="71"/>
      <c r="H10" s="38"/>
      <c r="I10" s="38"/>
      <c r="J10" s="53"/>
      <c r="K10" s="53"/>
    </row>
    <row r="11" spans="1:11" ht="30" customHeight="1" x14ac:dyDescent="0.25">
      <c r="H11" s="38"/>
      <c r="I11" s="38"/>
      <c r="J11" s="53"/>
      <c r="K11" s="53"/>
    </row>
    <row r="12" spans="1:11" ht="30" customHeight="1" x14ac:dyDescent="0.3">
      <c r="A12" s="78" t="s">
        <v>86</v>
      </c>
      <c r="B12" s="79"/>
      <c r="H12" s="38"/>
      <c r="I12" s="38"/>
      <c r="J12" s="53"/>
      <c r="K12" s="53"/>
    </row>
    <row r="13" spans="1:11" ht="30" customHeight="1" x14ac:dyDescent="0.25">
      <c r="A13" s="65" t="s">
        <v>87</v>
      </c>
      <c r="B13" s="67" t="s">
        <v>38</v>
      </c>
      <c r="C13" s="67" t="s">
        <v>39</v>
      </c>
      <c r="H13" s="38"/>
      <c r="I13" s="38"/>
      <c r="J13" s="53"/>
      <c r="K13" s="53"/>
    </row>
    <row r="14" spans="1:11" ht="30" customHeight="1" x14ac:dyDescent="0.25">
      <c r="A14" s="22">
        <v>8</v>
      </c>
      <c r="B14" s="21" t="s">
        <v>62</v>
      </c>
      <c r="C14" s="21" t="s">
        <v>26</v>
      </c>
      <c r="H14" s="38"/>
      <c r="I14" s="38"/>
      <c r="J14" s="53"/>
      <c r="K14" s="53"/>
    </row>
    <row r="15" spans="1:11" ht="30" customHeight="1" x14ac:dyDescent="0.25">
      <c r="A15" s="22"/>
      <c r="B15" s="21"/>
      <c r="C15" s="21"/>
      <c r="H15" s="38"/>
      <c r="I15" s="38"/>
      <c r="J15" s="53"/>
      <c r="K15" s="53"/>
    </row>
    <row r="16" spans="1:11" ht="30" customHeight="1" x14ac:dyDescent="0.25">
      <c r="B16" s="11"/>
      <c r="H16" s="38"/>
      <c r="I16" s="38"/>
      <c r="J16" s="53"/>
      <c r="K16" s="53"/>
    </row>
    <row r="17" spans="1:11" ht="30" customHeight="1" x14ac:dyDescent="0.25">
      <c r="B17" s="11"/>
      <c r="E17" s="49" t="s">
        <v>39</v>
      </c>
      <c r="F17" s="62" t="s">
        <v>84</v>
      </c>
      <c r="H17" s="38"/>
      <c r="I17" s="38"/>
      <c r="J17" s="53"/>
      <c r="K17" s="53"/>
    </row>
    <row r="18" spans="1:11" x14ac:dyDescent="0.25">
      <c r="A18" s="21"/>
      <c r="E18" s="63" t="s">
        <v>24</v>
      </c>
      <c r="F18" s="60">
        <f>COUNTIF($C$14:$C$28,E18)</f>
        <v>0</v>
      </c>
      <c r="G18" s="52"/>
      <c r="H18" s="38"/>
      <c r="I18" s="38"/>
      <c r="J18" s="53"/>
      <c r="K18" s="53"/>
    </row>
    <row r="19" spans="1:11" x14ac:dyDescent="0.25">
      <c r="A19" s="21"/>
      <c r="E19" s="63" t="s">
        <v>47</v>
      </c>
      <c r="F19" s="60">
        <f t="shared" ref="F19:F24" si="0">COUNTIF($C$14:$C$28,E19)</f>
        <v>0</v>
      </c>
      <c r="G19" s="52"/>
      <c r="H19" s="38"/>
      <c r="I19" s="38"/>
      <c r="J19" s="53"/>
      <c r="K19" s="53"/>
    </row>
    <row r="20" spans="1:11" x14ac:dyDescent="0.25">
      <c r="E20" s="64" t="s">
        <v>25</v>
      </c>
      <c r="F20" s="60">
        <f t="shared" si="0"/>
        <v>0</v>
      </c>
      <c r="G20" s="52"/>
      <c r="H20" s="38"/>
      <c r="I20" s="38"/>
      <c r="J20" s="53"/>
      <c r="K20" s="53"/>
    </row>
    <row r="21" spans="1:11" x14ac:dyDescent="0.25">
      <c r="E21" s="63" t="s">
        <v>26</v>
      </c>
      <c r="F21" s="60">
        <f t="shared" si="0"/>
        <v>1</v>
      </c>
    </row>
    <row r="22" spans="1:11" x14ac:dyDescent="0.25">
      <c r="E22" s="64" t="s">
        <v>28</v>
      </c>
      <c r="F22" s="60">
        <f t="shared" si="0"/>
        <v>0</v>
      </c>
    </row>
    <row r="23" spans="1:11" ht="30" x14ac:dyDescent="0.25">
      <c r="E23" s="64" t="s">
        <v>27</v>
      </c>
      <c r="F23" s="60">
        <f t="shared" si="0"/>
        <v>0</v>
      </c>
    </row>
    <row r="24" spans="1:11" x14ac:dyDescent="0.25">
      <c r="E24" s="66" t="s">
        <v>69</v>
      </c>
      <c r="F24" s="60">
        <f t="shared" si="0"/>
        <v>0</v>
      </c>
    </row>
    <row r="25" spans="1:11" x14ac:dyDescent="0.25">
      <c r="E25" s="64" t="s">
        <v>66</v>
      </c>
      <c r="F25" s="60">
        <f>COUNTIF($C$14:$C$28,E25)</f>
        <v>0</v>
      </c>
    </row>
    <row r="26" spans="1:11" ht="30" x14ac:dyDescent="0.25">
      <c r="E26" s="66" t="s">
        <v>27</v>
      </c>
      <c r="F26" s="60">
        <f>COUNTIF($C$14:$C$28,E26)</f>
        <v>0</v>
      </c>
    </row>
    <row r="27" spans="1:11" x14ac:dyDescent="0.25">
      <c r="E27" s="66" t="s">
        <v>37</v>
      </c>
      <c r="F27" s="60">
        <f t="shared" ref="F27" si="1">COUNTIF($C$14:$C$28,E27)</f>
        <v>0</v>
      </c>
    </row>
    <row r="28" spans="1:11" x14ac:dyDescent="0.25">
      <c r="F28"/>
    </row>
    <row r="29" spans="1:11" x14ac:dyDescent="0.25">
      <c r="E29"/>
      <c r="F29"/>
    </row>
    <row r="30" spans="1:11" x14ac:dyDescent="0.25">
      <c r="E30"/>
    </row>
    <row r="31" spans="1:11" x14ac:dyDescent="0.25">
      <c r="D31" s="76" t="s">
        <v>85</v>
      </c>
      <c r="E31" s="77"/>
      <c r="F31" s="74"/>
    </row>
    <row r="32" spans="1:11" x14ac:dyDescent="0.25">
      <c r="E32" s="72" t="str">
        <f>INDEX(E18:F27,MATCH(F32,F18:F27,0),1)</f>
        <v>Tourisme grande</v>
      </c>
      <c r="F32" s="73">
        <f>MAX(F18:F25)</f>
        <v>1</v>
      </c>
    </row>
  </sheetData>
  <mergeCells count="2">
    <mergeCell ref="D31:E31"/>
    <mergeCell ref="A12:B12"/>
  </mergeCells>
  <dataValidations count="1">
    <dataValidation type="list" showInputMessage="1" showErrorMessage="1" sqref="B2" xr:uid="{00000000-0002-0000-0200-000000000000}">
      <formula1>$D$2:$D$9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Macro1">
                <anchor moveWithCells="1" sizeWithCells="1">
                  <from>
                    <xdr:col>3</xdr:col>
                    <xdr:colOff>352425</xdr:colOff>
                    <xdr:row>13</xdr:row>
                    <xdr:rowOff>9525</xdr:rowOff>
                  </from>
                  <to>
                    <xdr:col>5</xdr:col>
                    <xdr:colOff>342900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theme="4"/>
  </sheetPr>
  <dimension ref="A3:AI21"/>
  <sheetViews>
    <sheetView workbookViewId="0">
      <selection activeCell="L6" sqref="L6"/>
    </sheetView>
  </sheetViews>
  <sheetFormatPr baseColWidth="10" defaultColWidth="11.5703125" defaultRowHeight="15" x14ac:dyDescent="0.25"/>
  <cols>
    <col min="1" max="1" width="23.5703125" customWidth="1"/>
    <col min="2" max="2" width="21.5703125" customWidth="1"/>
    <col min="3" max="3" width="16.7109375" customWidth="1"/>
    <col min="4" max="4" width="11.28515625" customWidth="1"/>
    <col min="5" max="5" width="10.5703125" bestFit="1" customWidth="1"/>
    <col min="6" max="6" width="13.28515625" bestFit="1" customWidth="1"/>
    <col min="7" max="7" width="11.7109375" bestFit="1" customWidth="1"/>
    <col min="8" max="8" width="11" bestFit="1" customWidth="1"/>
    <col min="9" max="9" width="13.7109375" bestFit="1" customWidth="1"/>
    <col min="10" max="10" width="10.5703125" bestFit="1" customWidth="1"/>
    <col min="11" max="11" width="26.7109375" bestFit="1" customWidth="1"/>
    <col min="12" max="12" width="29.7109375" bestFit="1" customWidth="1"/>
    <col min="13" max="13" width="9.7109375" bestFit="1" customWidth="1"/>
    <col min="14" max="14" width="26.7109375" bestFit="1" customWidth="1"/>
    <col min="15" max="15" width="29.7109375" bestFit="1" customWidth="1"/>
    <col min="16" max="16" width="9.42578125" bestFit="1" customWidth="1"/>
    <col min="17" max="17" width="10.7109375" bestFit="1" customWidth="1"/>
    <col min="18" max="18" width="13.5703125" bestFit="1" customWidth="1"/>
    <col min="19" max="19" width="13.140625" bestFit="1" customWidth="1"/>
    <col min="20" max="20" width="16.85546875" bestFit="1" customWidth="1"/>
    <col min="21" max="21" width="19.7109375" bestFit="1" customWidth="1"/>
    <col min="22" max="22" width="9.5703125" bestFit="1" customWidth="1"/>
    <col min="23" max="23" width="10.7109375" bestFit="1" customWidth="1"/>
    <col min="24" max="24" width="13.5703125" bestFit="1" customWidth="1"/>
    <col min="25" max="25" width="11.28515625" bestFit="1" customWidth="1"/>
    <col min="26" max="26" width="19.42578125" bestFit="1" customWidth="1"/>
    <col min="27" max="27" width="22.28515625" bestFit="1" customWidth="1"/>
    <col min="28" max="28" width="19.28515625" bestFit="1" customWidth="1"/>
    <col min="29" max="29" width="26.140625" bestFit="1" customWidth="1"/>
    <col min="30" max="30" width="28.85546875" bestFit="1" customWidth="1"/>
    <col min="31" max="31" width="11.7109375" bestFit="1" customWidth="1"/>
    <col min="32" max="32" width="10.7109375" bestFit="1" customWidth="1"/>
    <col min="33" max="33" width="13.5703125" bestFit="1" customWidth="1"/>
    <col min="34" max="34" width="9.85546875" bestFit="1" customWidth="1"/>
    <col min="35" max="35" width="10.7109375" bestFit="1" customWidth="1"/>
    <col min="36" max="36" width="10" customWidth="1"/>
    <col min="37" max="37" width="19.140625" customWidth="1"/>
    <col min="38" max="38" width="15" customWidth="1"/>
    <col min="39" max="39" width="17.85546875" customWidth="1"/>
    <col min="40" max="40" width="11.5703125" customWidth="1"/>
    <col min="41" max="41" width="11.140625" customWidth="1"/>
    <col min="42" max="42" width="14.140625" customWidth="1"/>
    <col min="43" max="43" width="11.5703125" customWidth="1"/>
    <col min="44" max="44" width="18.140625" bestFit="1" customWidth="1"/>
    <col min="45" max="45" width="15" customWidth="1"/>
    <col min="46" max="46" width="14.140625" customWidth="1"/>
    <col min="47" max="47" width="13.5703125" customWidth="1"/>
    <col min="48" max="48" width="18.140625" customWidth="1"/>
    <col min="49" max="49" width="15" customWidth="1"/>
    <col min="50" max="50" width="17.85546875" customWidth="1"/>
    <col min="51" max="51" width="11.5703125" customWidth="1"/>
    <col min="52" max="52" width="18.140625" bestFit="1" customWidth="1"/>
    <col min="53" max="53" width="12.5703125" customWidth="1"/>
    <col min="54" max="54" width="13.5703125" bestFit="1" customWidth="1"/>
    <col min="55" max="55" width="17.42578125" bestFit="1" customWidth="1"/>
    <col min="56" max="56" width="20.5703125" bestFit="1" customWidth="1"/>
    <col min="57" max="57" width="10" customWidth="1"/>
    <col min="58" max="58" width="19.140625" bestFit="1" customWidth="1"/>
    <col min="59" max="59" width="15" bestFit="1" customWidth="1"/>
    <col min="60" max="60" width="14.140625" bestFit="1" customWidth="1"/>
    <col min="61" max="61" width="13.5703125" bestFit="1" customWidth="1"/>
    <col min="62" max="62" width="18.140625" bestFit="1" customWidth="1"/>
    <col min="63" max="63" width="9.85546875" customWidth="1"/>
    <col min="64" max="64" width="12.5703125" bestFit="1" customWidth="1"/>
  </cols>
  <sheetData>
    <row r="3" spans="1:35" x14ac:dyDescent="0.25">
      <c r="A3" s="13" t="s">
        <v>91</v>
      </c>
      <c r="B3" s="13" t="s">
        <v>90</v>
      </c>
    </row>
    <row r="4" spans="1:35" x14ac:dyDescent="0.25">
      <c r="B4" t="s">
        <v>46</v>
      </c>
      <c r="D4" t="s">
        <v>92</v>
      </c>
      <c r="E4" t="s">
        <v>62</v>
      </c>
      <c r="G4" t="s">
        <v>95</v>
      </c>
      <c r="H4" t="s">
        <v>20</v>
      </c>
      <c r="J4" t="s">
        <v>96</v>
      </c>
      <c r="K4" t="s">
        <v>58</v>
      </c>
      <c r="M4" t="s">
        <v>97</v>
      </c>
      <c r="N4" t="s">
        <v>73</v>
      </c>
      <c r="P4" t="s">
        <v>98</v>
      </c>
      <c r="Q4" t="s">
        <v>22</v>
      </c>
      <c r="S4" t="s">
        <v>99</v>
      </c>
      <c r="T4" t="s">
        <v>53</v>
      </c>
      <c r="V4" t="s">
        <v>100</v>
      </c>
      <c r="W4" t="s">
        <v>76</v>
      </c>
      <c r="Y4" t="s">
        <v>101</v>
      </c>
      <c r="Z4" t="s">
        <v>11</v>
      </c>
      <c r="AB4" t="s">
        <v>102</v>
      </c>
      <c r="AC4" t="s">
        <v>23</v>
      </c>
      <c r="AE4" t="s">
        <v>103</v>
      </c>
      <c r="AF4" t="s">
        <v>21</v>
      </c>
      <c r="AH4" t="s">
        <v>104</v>
      </c>
      <c r="AI4" t="s">
        <v>93</v>
      </c>
    </row>
    <row r="5" spans="1:35" x14ac:dyDescent="0.25">
      <c r="B5" t="s">
        <v>68</v>
      </c>
      <c r="C5" t="s">
        <v>94</v>
      </c>
      <c r="E5" t="s">
        <v>70</v>
      </c>
      <c r="F5" t="s">
        <v>105</v>
      </c>
      <c r="H5" t="s">
        <v>33</v>
      </c>
      <c r="I5" t="s">
        <v>106</v>
      </c>
      <c r="K5" t="s">
        <v>72</v>
      </c>
      <c r="L5" t="s">
        <v>107</v>
      </c>
      <c r="N5" t="s">
        <v>72</v>
      </c>
      <c r="O5" t="s">
        <v>107</v>
      </c>
      <c r="Q5" t="s">
        <v>36</v>
      </c>
      <c r="R5" t="s">
        <v>108</v>
      </c>
      <c r="T5" t="s">
        <v>75</v>
      </c>
      <c r="U5" t="s">
        <v>109</v>
      </c>
      <c r="W5" t="s">
        <v>36</v>
      </c>
      <c r="X5" t="s">
        <v>108</v>
      </c>
      <c r="Z5" t="s">
        <v>29</v>
      </c>
      <c r="AA5" t="s">
        <v>110</v>
      </c>
      <c r="AC5" t="s">
        <v>35</v>
      </c>
      <c r="AD5" t="s">
        <v>111</v>
      </c>
      <c r="AF5" t="s">
        <v>36</v>
      </c>
      <c r="AG5" t="s">
        <v>108</v>
      </c>
    </row>
    <row r="6" spans="1:35" x14ac:dyDescent="0.25">
      <c r="A6" s="13" t="s">
        <v>81</v>
      </c>
      <c r="B6" t="s">
        <v>45</v>
      </c>
      <c r="E6" t="s">
        <v>61</v>
      </c>
      <c r="H6" t="s">
        <v>32</v>
      </c>
      <c r="K6" t="s">
        <v>71</v>
      </c>
      <c r="N6" t="s">
        <v>74</v>
      </c>
      <c r="Q6" t="s">
        <v>12</v>
      </c>
      <c r="T6" t="s">
        <v>52</v>
      </c>
      <c r="W6" t="s">
        <v>77</v>
      </c>
      <c r="Z6" t="s">
        <v>31</v>
      </c>
      <c r="AC6" t="s">
        <v>34</v>
      </c>
      <c r="AF6" t="s">
        <v>78</v>
      </c>
    </row>
    <row r="7" spans="1:35" x14ac:dyDescent="0.25">
      <c r="A7" s="14">
        <v>2017</v>
      </c>
      <c r="B7" s="16">
        <v>2</v>
      </c>
      <c r="C7" s="16">
        <v>2</v>
      </c>
      <c r="D7" s="16">
        <v>2</v>
      </c>
      <c r="E7" s="16"/>
      <c r="F7" s="16"/>
      <c r="G7" s="16"/>
      <c r="H7" s="16"/>
      <c r="I7" s="16"/>
      <c r="J7" s="16"/>
      <c r="K7" s="16"/>
      <c r="L7" s="16"/>
      <c r="M7" s="16"/>
      <c r="N7" s="16">
        <v>1</v>
      </c>
      <c r="O7" s="16">
        <v>1</v>
      </c>
      <c r="P7" s="16">
        <v>1</v>
      </c>
      <c r="Q7" s="16"/>
      <c r="R7" s="16"/>
      <c r="S7" s="16"/>
      <c r="T7" s="16">
        <v>1</v>
      </c>
      <c r="U7" s="16">
        <v>1</v>
      </c>
      <c r="V7" s="16">
        <v>1</v>
      </c>
      <c r="W7" s="16">
        <v>1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  <c r="AC7" s="16"/>
      <c r="AD7" s="16"/>
      <c r="AE7" s="16"/>
      <c r="AF7" s="16">
        <v>1</v>
      </c>
      <c r="AG7" s="16">
        <v>1</v>
      </c>
      <c r="AH7" s="16">
        <v>1</v>
      </c>
      <c r="AI7" s="16">
        <v>7</v>
      </c>
    </row>
    <row r="8" spans="1:35" x14ac:dyDescent="0.25">
      <c r="A8" s="15" t="s">
        <v>25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>
        <v>1</v>
      </c>
      <c r="AA8" s="16">
        <v>1</v>
      </c>
      <c r="AB8" s="16">
        <v>1</v>
      </c>
      <c r="AC8" s="16"/>
      <c r="AD8" s="16"/>
      <c r="AE8" s="16"/>
      <c r="AF8" s="16"/>
      <c r="AG8" s="16"/>
      <c r="AH8" s="16"/>
      <c r="AI8" s="16">
        <v>1</v>
      </c>
    </row>
    <row r="9" spans="1:35" x14ac:dyDescent="0.25">
      <c r="A9" s="15" t="s">
        <v>26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>
        <v>1</v>
      </c>
      <c r="U9" s="16">
        <v>1</v>
      </c>
      <c r="V9" s="16">
        <v>1</v>
      </c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>
        <v>1</v>
      </c>
    </row>
    <row r="10" spans="1:35" x14ac:dyDescent="0.25">
      <c r="A10" s="15" t="s">
        <v>27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>
        <v>1</v>
      </c>
      <c r="AG10" s="16">
        <v>1</v>
      </c>
      <c r="AH10" s="16">
        <v>1</v>
      </c>
      <c r="AI10" s="16">
        <v>1</v>
      </c>
    </row>
    <row r="11" spans="1:35" x14ac:dyDescent="0.25">
      <c r="A11" s="15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>
        <v>1</v>
      </c>
      <c r="O11" s="16">
        <v>1</v>
      </c>
      <c r="P11" s="16">
        <v>1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>
        <v>1</v>
      </c>
    </row>
    <row r="12" spans="1:35" x14ac:dyDescent="0.25">
      <c r="A12" s="15" t="s">
        <v>69</v>
      </c>
      <c r="B12" s="16">
        <v>1</v>
      </c>
      <c r="C12" s="16">
        <v>1</v>
      </c>
      <c r="D12" s="16">
        <v>1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>
        <v>1</v>
      </c>
      <c r="X12" s="16">
        <v>1</v>
      </c>
      <c r="Y12" s="16">
        <v>1</v>
      </c>
      <c r="Z12" s="16"/>
      <c r="AA12" s="16"/>
      <c r="AB12" s="16"/>
      <c r="AC12" s="16"/>
      <c r="AD12" s="16"/>
      <c r="AE12" s="16"/>
      <c r="AF12" s="16"/>
      <c r="AG12" s="16"/>
      <c r="AH12" s="16"/>
      <c r="AI12" s="16">
        <v>2</v>
      </c>
    </row>
    <row r="13" spans="1:35" x14ac:dyDescent="0.25">
      <c r="A13" s="15" t="s">
        <v>37</v>
      </c>
      <c r="B13" s="16">
        <v>1</v>
      </c>
      <c r="C13" s="16">
        <v>1</v>
      </c>
      <c r="D13" s="16">
        <v>1</v>
      </c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>
        <v>1</v>
      </c>
    </row>
    <row r="14" spans="1:35" x14ac:dyDescent="0.25">
      <c r="A14" s="14">
        <v>2018</v>
      </c>
      <c r="B14" s="16"/>
      <c r="C14" s="16"/>
      <c r="D14" s="16"/>
      <c r="E14" s="16">
        <v>1</v>
      </c>
      <c r="F14" s="16">
        <v>1</v>
      </c>
      <c r="G14" s="16">
        <v>1</v>
      </c>
      <c r="H14" s="16">
        <v>1</v>
      </c>
      <c r="I14" s="16">
        <v>1</v>
      </c>
      <c r="J14" s="16">
        <v>1</v>
      </c>
      <c r="K14" s="16">
        <v>1</v>
      </c>
      <c r="L14" s="16">
        <v>1</v>
      </c>
      <c r="M14" s="16">
        <v>1</v>
      </c>
      <c r="N14" s="16"/>
      <c r="O14" s="16"/>
      <c r="P14" s="16"/>
      <c r="Q14" s="16">
        <v>2</v>
      </c>
      <c r="R14" s="16">
        <v>2</v>
      </c>
      <c r="S14" s="16">
        <v>2</v>
      </c>
      <c r="T14" s="16">
        <v>2</v>
      </c>
      <c r="U14" s="16">
        <v>2</v>
      </c>
      <c r="V14" s="16">
        <v>2</v>
      </c>
      <c r="W14" s="16"/>
      <c r="X14" s="16"/>
      <c r="Y14" s="16"/>
      <c r="Z14" s="16">
        <v>1</v>
      </c>
      <c r="AA14" s="16">
        <v>1</v>
      </c>
      <c r="AB14" s="16">
        <v>1</v>
      </c>
      <c r="AC14" s="16">
        <v>1</v>
      </c>
      <c r="AD14" s="16">
        <v>1</v>
      </c>
      <c r="AE14" s="16">
        <v>1</v>
      </c>
      <c r="AF14" s="16"/>
      <c r="AG14" s="16"/>
      <c r="AH14" s="16"/>
      <c r="AI14" s="16">
        <v>9</v>
      </c>
    </row>
    <row r="15" spans="1:35" x14ac:dyDescent="0.25">
      <c r="A15" s="15" t="s">
        <v>24</v>
      </c>
      <c r="B15" s="16"/>
      <c r="C15" s="16"/>
      <c r="D15" s="16"/>
      <c r="E15" s="16"/>
      <c r="F15" s="16"/>
      <c r="G15" s="16"/>
      <c r="H15" s="16">
        <v>1</v>
      </c>
      <c r="I15" s="16">
        <v>1</v>
      </c>
      <c r="J15" s="16">
        <v>1</v>
      </c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>
        <v>1</v>
      </c>
    </row>
    <row r="16" spans="1:35" x14ac:dyDescent="0.25">
      <c r="A16" s="15" t="s">
        <v>25</v>
      </c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>
        <v>1</v>
      </c>
      <c r="AA16" s="16">
        <v>1</v>
      </c>
      <c r="AB16" s="16">
        <v>1</v>
      </c>
      <c r="AC16" s="16">
        <v>1</v>
      </c>
      <c r="AD16" s="16">
        <v>1</v>
      </c>
      <c r="AE16" s="16">
        <v>1</v>
      </c>
      <c r="AF16" s="16"/>
      <c r="AG16" s="16"/>
      <c r="AH16" s="16"/>
      <c r="AI16" s="16">
        <v>2</v>
      </c>
    </row>
    <row r="17" spans="1:35" x14ac:dyDescent="0.25">
      <c r="A17" s="15" t="s">
        <v>26</v>
      </c>
      <c r="B17" s="16"/>
      <c r="C17" s="16"/>
      <c r="D17" s="16"/>
      <c r="E17" s="16">
        <v>1</v>
      </c>
      <c r="F17" s="16">
        <v>1</v>
      </c>
      <c r="G17" s="16">
        <v>1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>
        <v>1</v>
      </c>
      <c r="U17" s="16">
        <v>1</v>
      </c>
      <c r="V17" s="16">
        <v>1</v>
      </c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>
        <v>2</v>
      </c>
    </row>
    <row r="18" spans="1:35" x14ac:dyDescent="0.25">
      <c r="A18" s="15" t="s">
        <v>28</v>
      </c>
      <c r="B18" s="16"/>
      <c r="C18" s="16"/>
      <c r="D18" s="16"/>
      <c r="E18" s="16"/>
      <c r="F18" s="16"/>
      <c r="G18" s="16"/>
      <c r="H18" s="16"/>
      <c r="I18" s="16"/>
      <c r="J18" s="16"/>
      <c r="K18" s="16">
        <v>1</v>
      </c>
      <c r="L18" s="16">
        <v>1</v>
      </c>
      <c r="M18" s="16">
        <v>1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>
        <v>1</v>
      </c>
    </row>
    <row r="19" spans="1:35" x14ac:dyDescent="0.25">
      <c r="A19" s="15" t="s">
        <v>66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1</v>
      </c>
      <c r="S19" s="16">
        <v>1</v>
      </c>
      <c r="T19" s="16">
        <v>1</v>
      </c>
      <c r="U19" s="16">
        <v>1</v>
      </c>
      <c r="V19" s="16">
        <v>1</v>
      </c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>
        <v>2</v>
      </c>
    </row>
    <row r="20" spans="1:35" x14ac:dyDescent="0.25">
      <c r="A20" s="15" t="s">
        <v>47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1</v>
      </c>
      <c r="R20" s="16">
        <v>1</v>
      </c>
      <c r="S20" s="16">
        <v>1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>
        <v>1</v>
      </c>
    </row>
    <row r="21" spans="1:35" x14ac:dyDescent="0.25">
      <c r="A21" s="14" t="s">
        <v>93</v>
      </c>
      <c r="B21" s="16">
        <v>2</v>
      </c>
      <c r="C21" s="16">
        <v>2</v>
      </c>
      <c r="D21" s="16">
        <v>2</v>
      </c>
      <c r="E21" s="16">
        <v>1</v>
      </c>
      <c r="F21" s="16">
        <v>1</v>
      </c>
      <c r="G21" s="16">
        <v>1</v>
      </c>
      <c r="H21" s="16">
        <v>1</v>
      </c>
      <c r="I21" s="16">
        <v>1</v>
      </c>
      <c r="J21" s="16">
        <v>1</v>
      </c>
      <c r="K21" s="16">
        <v>1</v>
      </c>
      <c r="L21" s="16">
        <v>1</v>
      </c>
      <c r="M21" s="16">
        <v>1</v>
      </c>
      <c r="N21" s="16">
        <v>1</v>
      </c>
      <c r="O21" s="16">
        <v>1</v>
      </c>
      <c r="P21" s="16">
        <v>1</v>
      </c>
      <c r="Q21" s="16">
        <v>2</v>
      </c>
      <c r="R21" s="16">
        <v>2</v>
      </c>
      <c r="S21" s="16">
        <v>2</v>
      </c>
      <c r="T21" s="16">
        <v>3</v>
      </c>
      <c r="U21" s="16">
        <v>3</v>
      </c>
      <c r="V21" s="16">
        <v>3</v>
      </c>
      <c r="W21" s="16">
        <v>1</v>
      </c>
      <c r="X21" s="16">
        <v>1</v>
      </c>
      <c r="Y21" s="16">
        <v>1</v>
      </c>
      <c r="Z21" s="16">
        <v>2</v>
      </c>
      <c r="AA21" s="16">
        <v>2</v>
      </c>
      <c r="AB21" s="16">
        <v>2</v>
      </c>
      <c r="AC21" s="16">
        <v>1</v>
      </c>
      <c r="AD21" s="16">
        <v>1</v>
      </c>
      <c r="AE21" s="16">
        <v>1</v>
      </c>
      <c r="AF21" s="16">
        <v>1</v>
      </c>
      <c r="AG21" s="16">
        <v>1</v>
      </c>
      <c r="AH21" s="16">
        <v>1</v>
      </c>
      <c r="AI21" s="16">
        <v>16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TU_Réservation_Soc</vt:lpstr>
      <vt:lpstr>TU Réservations_prive</vt:lpstr>
      <vt:lpstr>Parramètres Analyse visuelle</vt:lpstr>
      <vt:lpstr>Analyse reservation soc</vt:lpstr>
      <vt:lpstr>Analyse reservation prive</vt:lpstr>
      <vt:lpstr>'Analyse reservation soc'!Criteres</vt:lpstr>
      <vt:lpstr>TU_Réservation_Soc!Criteres</vt:lpstr>
      <vt:lpstr>devis_rentable_min</vt:lpstr>
      <vt:lpstr>'Analyse reservation soc'!Extraire</vt:lpstr>
      <vt:lpstr>TU_Réservation_Soc!Extraire</vt:lpstr>
      <vt:lpstr>max</vt:lpstr>
      <vt:lpstr>min</vt:lpstr>
      <vt:lpstr>Nb_jours</vt:lpstr>
      <vt:lpstr>NomSoc</vt:lpstr>
      <vt:lpstr>Rentabilite_min</vt:lpstr>
      <vt:lpstr>RESERVERSOC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AIDANA ISKAKOVA</dc:creator>
  <cp:lastModifiedBy>Hugo Zahn</cp:lastModifiedBy>
  <cp:lastPrinted>2018-03-22T12:02:09Z</cp:lastPrinted>
  <dcterms:created xsi:type="dcterms:W3CDTF">2018-03-02T10:59:10Z</dcterms:created>
  <dcterms:modified xsi:type="dcterms:W3CDTF">2018-03-22T22:59:10Z</dcterms:modified>
</cp:coreProperties>
</file>